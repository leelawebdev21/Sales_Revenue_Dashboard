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Sales Data" sheetId="1" state="visible" r:id="rId3"/>
    <sheet name="Monthly Summary" sheetId="2" state="visible" r:id="rId4"/>
    <sheet name="Category Analysis" sheetId="3" state="visible" r:id="rId5"/>
    <sheet name="Region Analysis" sheetId="4" state="visible" r:id="rId6"/>
    <sheet name="KPI Summary" sheetId="5" state="visible" r:id="rId7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<sst xmlns="http://schemas.openxmlformats.org/spreadsheetml/2006/main" count="1866" uniqueCount="353">
  <si>
    <t xml:space="preserve">Sales &amp; Revenue — Raw Transaction Data (FY 2024)</t>
  </si>
  <si>
    <t xml:space="preserve">Order ID</t>
  </si>
  <si>
    <t xml:space="preserve">Month</t>
  </si>
  <si>
    <t xml:space="preserve">Quarter</t>
  </si>
  <si>
    <t xml:space="preserve">Region</t>
  </si>
  <si>
    <t xml:space="preserve">Sales Rep</t>
  </si>
  <si>
    <t xml:space="preserve">Category</t>
  </si>
  <si>
    <t xml:space="preserve">Product</t>
  </si>
  <si>
    <t xml:space="preserve">Units Sold</t>
  </si>
  <si>
    <t xml:space="preserve">Unit Price (₹)</t>
  </si>
  <si>
    <t xml:space="preserve">Gross Revenue (₹)</t>
  </si>
  <si>
    <t xml:space="preserve">Discount (%)</t>
  </si>
  <si>
    <t xml:space="preserve">Discount Amount (₹)</t>
  </si>
  <si>
    <t xml:space="preserve">Net Revenue (₹)</t>
  </si>
  <si>
    <t xml:space="preserve">ORD-1001</t>
  </si>
  <si>
    <t xml:space="preserve">Jan</t>
  </si>
  <si>
    <t xml:space="preserve">Q1</t>
  </si>
  <si>
    <t xml:space="preserve">East</t>
  </si>
  <si>
    <t xml:space="preserve">Sneha Iyer</t>
  </si>
  <si>
    <t xml:space="preserve">Electronics</t>
  </si>
  <si>
    <t xml:space="preserve">Laptop Pro</t>
  </si>
  <si>
    <t xml:space="preserve">ORD-1002</t>
  </si>
  <si>
    <t xml:space="preserve">West</t>
  </si>
  <si>
    <t xml:space="preserve">Arjun Mehta</t>
  </si>
  <si>
    <t xml:space="preserve">Beauty</t>
  </si>
  <si>
    <t xml:space="preserve">Face Serum</t>
  </si>
  <si>
    <t xml:space="preserve">ORD-1003</t>
  </si>
  <si>
    <t xml:space="preserve">North</t>
  </si>
  <si>
    <t xml:space="preserve">Vikram Das</t>
  </si>
  <si>
    <t xml:space="preserve">Moisturiser</t>
  </si>
  <si>
    <t xml:space="preserve">ORD-1004</t>
  </si>
  <si>
    <t xml:space="preserve">South</t>
  </si>
  <si>
    <t xml:space="preserve">Anjali Singh</t>
  </si>
  <si>
    <t xml:space="preserve">Sunscreen SPF50</t>
  </si>
  <si>
    <t xml:space="preserve">ORD-1005</t>
  </si>
  <si>
    <t xml:space="preserve">Divya Nair</t>
  </si>
  <si>
    <t xml:space="preserve">Wireless Earbuds</t>
  </si>
  <si>
    <t xml:space="preserve">ORD-1006</t>
  </si>
  <si>
    <t xml:space="preserve">Rohan Gupta</t>
  </si>
  <si>
    <t xml:space="preserve">Home &amp; Living</t>
  </si>
  <si>
    <t xml:space="preserve">Coffee Maker</t>
  </si>
  <si>
    <t xml:space="preserve">ORD-1007</t>
  </si>
  <si>
    <t xml:space="preserve">Hair Dryer</t>
  </si>
  <si>
    <t xml:space="preserve">ORD-1008</t>
  </si>
  <si>
    <t xml:space="preserve">Meera Joshi</t>
  </si>
  <si>
    <t xml:space="preserve">Tablet</t>
  </si>
  <si>
    <t xml:space="preserve">ORD-1009</t>
  </si>
  <si>
    <t xml:space="preserve">Karan Patel</t>
  </si>
  <si>
    <t xml:space="preserve">ORD-1010</t>
  </si>
  <si>
    <t xml:space="preserve">4K Monitor</t>
  </si>
  <si>
    <t xml:space="preserve">ORD-1011</t>
  </si>
  <si>
    <t xml:space="preserve">Clothing</t>
  </si>
  <si>
    <t xml:space="preserve">Casual T-Shirt</t>
  </si>
  <si>
    <t xml:space="preserve">ORD-1012</t>
  </si>
  <si>
    <t xml:space="preserve">Winter Coat</t>
  </si>
  <si>
    <t xml:space="preserve">ORD-1013</t>
  </si>
  <si>
    <t xml:space="preserve">ORD-1014</t>
  </si>
  <si>
    <t xml:space="preserve">ORD-1015</t>
  </si>
  <si>
    <t xml:space="preserve">Rahul Verma</t>
  </si>
  <si>
    <t xml:space="preserve">Sports</t>
  </si>
  <si>
    <t xml:space="preserve">Resistance Bands</t>
  </si>
  <si>
    <t xml:space="preserve">ORD-1016</t>
  </si>
  <si>
    <t xml:space="preserve">Cookware Set</t>
  </si>
  <si>
    <t xml:space="preserve">ORD-1017</t>
  </si>
  <si>
    <t xml:space="preserve">ORD-1018</t>
  </si>
  <si>
    <t xml:space="preserve">Foam Roller</t>
  </si>
  <si>
    <t xml:space="preserve">ORD-1019</t>
  </si>
  <si>
    <t xml:space="preserve">Priya Sharma</t>
  </si>
  <si>
    <t xml:space="preserve">ORD-1020</t>
  </si>
  <si>
    <t xml:space="preserve">ORD-1021</t>
  </si>
  <si>
    <t xml:space="preserve">ORD-1022</t>
  </si>
  <si>
    <t xml:space="preserve">ORD-1023</t>
  </si>
  <si>
    <t xml:space="preserve">ORD-1024</t>
  </si>
  <si>
    <t xml:space="preserve">Air Purifier</t>
  </si>
  <si>
    <t xml:space="preserve">ORD-1025</t>
  </si>
  <si>
    <t xml:space="preserve">Yoga Mat</t>
  </si>
  <si>
    <t xml:space="preserve">ORD-1026</t>
  </si>
  <si>
    <t xml:space="preserve">Feb</t>
  </si>
  <si>
    <t xml:space="preserve">ORD-1027</t>
  </si>
  <si>
    <t xml:space="preserve">ORD-1028</t>
  </si>
  <si>
    <t xml:space="preserve">ORD-1029</t>
  </si>
  <si>
    <t xml:space="preserve">Sneakers</t>
  </si>
  <si>
    <t xml:space="preserve">ORD-1030</t>
  </si>
  <si>
    <t xml:space="preserve">Denim Jacket</t>
  </si>
  <si>
    <t xml:space="preserve">ORD-1031</t>
  </si>
  <si>
    <t xml:space="preserve">ORD-1032</t>
  </si>
  <si>
    <t xml:space="preserve">Jump Rope</t>
  </si>
  <si>
    <t xml:space="preserve">ORD-1033</t>
  </si>
  <si>
    <t xml:space="preserve">ORD-1034</t>
  </si>
  <si>
    <t xml:space="preserve">ORD-1035</t>
  </si>
  <si>
    <t xml:space="preserve">ORD-1036</t>
  </si>
  <si>
    <t xml:space="preserve">ORD-1037</t>
  </si>
  <si>
    <t xml:space="preserve">Running Shoes</t>
  </si>
  <si>
    <t xml:space="preserve">ORD-1038</t>
  </si>
  <si>
    <t xml:space="preserve">ORD-1039</t>
  </si>
  <si>
    <t xml:space="preserve">Protein Shaker</t>
  </si>
  <si>
    <t xml:space="preserve">ORD-1040</t>
  </si>
  <si>
    <t xml:space="preserve">ORD-1041</t>
  </si>
  <si>
    <t xml:space="preserve">ORD-1042</t>
  </si>
  <si>
    <t xml:space="preserve">ORD-1043</t>
  </si>
  <si>
    <t xml:space="preserve">ORD-1044</t>
  </si>
  <si>
    <t xml:space="preserve">ORD-1045</t>
  </si>
  <si>
    <t xml:space="preserve">Mar</t>
  </si>
  <si>
    <t xml:space="preserve">Throw Pillow</t>
  </si>
  <si>
    <t xml:space="preserve">ORD-1046</t>
  </si>
  <si>
    <t xml:space="preserve">ORD-1047</t>
  </si>
  <si>
    <t xml:space="preserve">Lip Palette</t>
  </si>
  <si>
    <t xml:space="preserve">ORD-1048</t>
  </si>
  <si>
    <t xml:space="preserve">Desk Lamp</t>
  </si>
  <si>
    <t xml:space="preserve">ORD-1049</t>
  </si>
  <si>
    <t xml:space="preserve">ORD-1050</t>
  </si>
  <si>
    <t xml:space="preserve">ORD-1051</t>
  </si>
  <si>
    <t xml:space="preserve">ORD-1052</t>
  </si>
  <si>
    <t xml:space="preserve">ORD-1053</t>
  </si>
  <si>
    <t xml:space="preserve">ORD-1054</t>
  </si>
  <si>
    <t xml:space="preserve">ORD-1055</t>
  </si>
  <si>
    <t xml:space="preserve">ORD-1056</t>
  </si>
  <si>
    <t xml:space="preserve">ORD-1057</t>
  </si>
  <si>
    <t xml:space="preserve">ORD-1058</t>
  </si>
  <si>
    <t xml:space="preserve">ORD-1059</t>
  </si>
  <si>
    <t xml:space="preserve">ORD-1060</t>
  </si>
  <si>
    <t xml:space="preserve">ORD-1061</t>
  </si>
  <si>
    <t xml:space="preserve">ORD-1062</t>
  </si>
  <si>
    <t xml:space="preserve">ORD-1063</t>
  </si>
  <si>
    <t xml:space="preserve">Apr</t>
  </si>
  <si>
    <t xml:space="preserve">Q2</t>
  </si>
  <si>
    <t xml:space="preserve">ORD-1064</t>
  </si>
  <si>
    <t xml:space="preserve">ORD-1065</t>
  </si>
  <si>
    <t xml:space="preserve">ORD-1066</t>
  </si>
  <si>
    <t xml:space="preserve">ORD-1067</t>
  </si>
  <si>
    <t xml:space="preserve">ORD-1068</t>
  </si>
  <si>
    <t xml:space="preserve">ORD-1069</t>
  </si>
  <si>
    <t xml:space="preserve">ORD-1070</t>
  </si>
  <si>
    <t xml:space="preserve">ORD-1071</t>
  </si>
  <si>
    <t xml:space="preserve">ORD-1072</t>
  </si>
  <si>
    <t xml:space="preserve">ORD-1073</t>
  </si>
  <si>
    <t xml:space="preserve">ORD-1074</t>
  </si>
  <si>
    <t xml:space="preserve">ORD-1075</t>
  </si>
  <si>
    <t xml:space="preserve">ORD-1076</t>
  </si>
  <si>
    <t xml:space="preserve">ORD-1077</t>
  </si>
  <si>
    <t xml:space="preserve">ORD-1078</t>
  </si>
  <si>
    <t xml:space="preserve">May</t>
  </si>
  <si>
    <t xml:space="preserve">ORD-1079</t>
  </si>
  <si>
    <t xml:space="preserve">ORD-1080</t>
  </si>
  <si>
    <t xml:space="preserve">ORD-1081</t>
  </si>
  <si>
    <t xml:space="preserve">ORD-1082</t>
  </si>
  <si>
    <t xml:space="preserve">ORD-1083</t>
  </si>
  <si>
    <t xml:space="preserve">ORD-1084</t>
  </si>
  <si>
    <t xml:space="preserve">ORD-1085</t>
  </si>
  <si>
    <t xml:space="preserve">ORD-1086</t>
  </si>
  <si>
    <t xml:space="preserve">ORD-1087</t>
  </si>
  <si>
    <t xml:space="preserve">ORD-1088</t>
  </si>
  <si>
    <t xml:space="preserve">ORD-1089</t>
  </si>
  <si>
    <t xml:space="preserve">ORD-1090</t>
  </si>
  <si>
    <t xml:space="preserve">ORD-1091</t>
  </si>
  <si>
    <t xml:space="preserve">Smart Watch</t>
  </si>
  <si>
    <t xml:space="preserve">ORD-1092</t>
  </si>
  <si>
    <t xml:space="preserve">ORD-1093</t>
  </si>
  <si>
    <t xml:space="preserve">ORD-1094</t>
  </si>
  <si>
    <t xml:space="preserve">ORD-1095</t>
  </si>
  <si>
    <t xml:space="preserve">ORD-1096</t>
  </si>
  <si>
    <t xml:space="preserve">ORD-1097</t>
  </si>
  <si>
    <t xml:space="preserve">ORD-1098</t>
  </si>
  <si>
    <t xml:space="preserve">ORD-1099</t>
  </si>
  <si>
    <t xml:space="preserve">ORD-1100</t>
  </si>
  <si>
    <t xml:space="preserve">Jun</t>
  </si>
  <si>
    <t xml:space="preserve">ORD-1101</t>
  </si>
  <si>
    <t xml:space="preserve">ORD-1102</t>
  </si>
  <si>
    <t xml:space="preserve">ORD-1103</t>
  </si>
  <si>
    <t xml:space="preserve">ORD-1104</t>
  </si>
  <si>
    <t xml:space="preserve">ORD-1105</t>
  </si>
  <si>
    <t xml:space="preserve">ORD-1106</t>
  </si>
  <si>
    <t xml:space="preserve">ORD-1107</t>
  </si>
  <si>
    <t xml:space="preserve">ORD-1108</t>
  </si>
  <si>
    <t xml:space="preserve">ORD-1109</t>
  </si>
  <si>
    <t xml:space="preserve">ORD-1110</t>
  </si>
  <si>
    <t xml:space="preserve">ORD-1111</t>
  </si>
  <si>
    <t xml:space="preserve">ORD-1112</t>
  </si>
  <si>
    <t xml:space="preserve">ORD-1113</t>
  </si>
  <si>
    <t xml:space="preserve">ORD-1114</t>
  </si>
  <si>
    <t xml:space="preserve">ORD-1115</t>
  </si>
  <si>
    <t xml:space="preserve">ORD-1116</t>
  </si>
  <si>
    <t xml:space="preserve">ORD-1117</t>
  </si>
  <si>
    <t xml:space="preserve">ORD-1118</t>
  </si>
  <si>
    <t xml:space="preserve">ORD-1119</t>
  </si>
  <si>
    <t xml:space="preserve">ORD-1120</t>
  </si>
  <si>
    <t xml:space="preserve">ORD-1121</t>
  </si>
  <si>
    <t xml:space="preserve">ORD-1122</t>
  </si>
  <si>
    <t xml:space="preserve">ORD-1123</t>
  </si>
  <si>
    <t xml:space="preserve">ORD-1124</t>
  </si>
  <si>
    <t xml:space="preserve">Jul</t>
  </si>
  <si>
    <t xml:space="preserve">Q3</t>
  </si>
  <si>
    <t xml:space="preserve">ORD-1125</t>
  </si>
  <si>
    <t xml:space="preserve">ORD-1126</t>
  </si>
  <si>
    <t xml:space="preserve">ORD-1127</t>
  </si>
  <si>
    <t xml:space="preserve">ORD-1128</t>
  </si>
  <si>
    <t xml:space="preserve">ORD-1129</t>
  </si>
  <si>
    <t xml:space="preserve">ORD-1130</t>
  </si>
  <si>
    <t xml:space="preserve">ORD-1131</t>
  </si>
  <si>
    <t xml:space="preserve">ORD-1132</t>
  </si>
  <si>
    <t xml:space="preserve">ORD-1133</t>
  </si>
  <si>
    <t xml:space="preserve">ORD-1134</t>
  </si>
  <si>
    <t xml:space="preserve">ORD-1135</t>
  </si>
  <si>
    <t xml:space="preserve">ORD-1136</t>
  </si>
  <si>
    <t xml:space="preserve">ORD-1137</t>
  </si>
  <si>
    <t xml:space="preserve">ORD-1138</t>
  </si>
  <si>
    <t xml:space="preserve">ORD-1139</t>
  </si>
  <si>
    <t xml:space="preserve">ORD-1140</t>
  </si>
  <si>
    <t xml:space="preserve">ORD-1141</t>
  </si>
  <si>
    <t xml:space="preserve">ORD-1142</t>
  </si>
  <si>
    <t xml:space="preserve">ORD-1143</t>
  </si>
  <si>
    <t xml:space="preserve">ORD-1144</t>
  </si>
  <si>
    <t xml:space="preserve">ORD-1145</t>
  </si>
  <si>
    <t xml:space="preserve">ORD-1146</t>
  </si>
  <si>
    <t xml:space="preserve">ORD-1147</t>
  </si>
  <si>
    <t xml:space="preserve">ORD-1148</t>
  </si>
  <si>
    <t xml:space="preserve">Aug</t>
  </si>
  <si>
    <t xml:space="preserve">ORD-1149</t>
  </si>
  <si>
    <t xml:space="preserve">ORD-1150</t>
  </si>
  <si>
    <t xml:space="preserve">ORD-1151</t>
  </si>
  <si>
    <t xml:space="preserve">ORD-1152</t>
  </si>
  <si>
    <t xml:space="preserve">ORD-1153</t>
  </si>
  <si>
    <t xml:space="preserve">ORD-1154</t>
  </si>
  <si>
    <t xml:space="preserve">ORD-1155</t>
  </si>
  <si>
    <t xml:space="preserve">ORD-1156</t>
  </si>
  <si>
    <t xml:space="preserve">ORD-1157</t>
  </si>
  <si>
    <t xml:space="preserve">ORD-1158</t>
  </si>
  <si>
    <t xml:space="preserve">ORD-1159</t>
  </si>
  <si>
    <t xml:space="preserve">ORD-1160</t>
  </si>
  <si>
    <t xml:space="preserve">ORD-1161</t>
  </si>
  <si>
    <t xml:space="preserve">ORD-1162</t>
  </si>
  <si>
    <t xml:space="preserve">ORD-1163</t>
  </si>
  <si>
    <t xml:space="preserve">ORD-1164</t>
  </si>
  <si>
    <t xml:space="preserve">ORD-1165</t>
  </si>
  <si>
    <t xml:space="preserve">ORD-1166</t>
  </si>
  <si>
    <t xml:space="preserve">ORD-1167</t>
  </si>
  <si>
    <t xml:space="preserve">ORD-1168</t>
  </si>
  <si>
    <t xml:space="preserve">ORD-1169</t>
  </si>
  <si>
    <t xml:space="preserve">ORD-1170</t>
  </si>
  <si>
    <t xml:space="preserve">ORD-1171</t>
  </si>
  <si>
    <t xml:space="preserve">Sep</t>
  </si>
  <si>
    <t xml:space="preserve">ORD-1172</t>
  </si>
  <si>
    <t xml:space="preserve">ORD-1173</t>
  </si>
  <si>
    <t xml:space="preserve">ORD-1174</t>
  </si>
  <si>
    <t xml:space="preserve">ORD-1175</t>
  </si>
  <si>
    <t xml:space="preserve">ORD-1176</t>
  </si>
  <si>
    <t xml:space="preserve">ORD-1177</t>
  </si>
  <si>
    <t xml:space="preserve">ORD-1178</t>
  </si>
  <si>
    <t xml:space="preserve">ORD-1179</t>
  </si>
  <si>
    <t xml:space="preserve">ORD-1180</t>
  </si>
  <si>
    <t xml:space="preserve">ORD-1181</t>
  </si>
  <si>
    <t xml:space="preserve">ORD-1182</t>
  </si>
  <si>
    <t xml:space="preserve">ORD-1183</t>
  </si>
  <si>
    <t xml:space="preserve">ORD-1184</t>
  </si>
  <si>
    <t xml:space="preserve">ORD-1185</t>
  </si>
  <si>
    <t xml:space="preserve">ORD-1186</t>
  </si>
  <si>
    <t xml:space="preserve">ORD-1187</t>
  </si>
  <si>
    <t xml:space="preserve">ORD-1188</t>
  </si>
  <si>
    <t xml:space="preserve">ORD-1189</t>
  </si>
  <si>
    <t xml:space="preserve">ORD-1190</t>
  </si>
  <si>
    <t xml:space="preserve">ORD-1191</t>
  </si>
  <si>
    <t xml:space="preserve">ORD-1192</t>
  </si>
  <si>
    <t xml:space="preserve">ORD-1193</t>
  </si>
  <si>
    <t xml:space="preserve">ORD-1194</t>
  </si>
  <si>
    <t xml:space="preserve">ORD-1195</t>
  </si>
  <si>
    <t xml:space="preserve">ORD-1196</t>
  </si>
  <si>
    <t xml:space="preserve">Oct</t>
  </si>
  <si>
    <t xml:space="preserve">Q4</t>
  </si>
  <si>
    <t xml:space="preserve">ORD-1197</t>
  </si>
  <si>
    <t xml:space="preserve">ORD-1198</t>
  </si>
  <si>
    <t xml:space="preserve">ORD-1199</t>
  </si>
  <si>
    <t xml:space="preserve">ORD-1200</t>
  </si>
  <si>
    <t xml:space="preserve">ORD-1201</t>
  </si>
  <si>
    <t xml:space="preserve">ORD-1202</t>
  </si>
  <si>
    <t xml:space="preserve">ORD-1203</t>
  </si>
  <si>
    <t xml:space="preserve">ORD-1204</t>
  </si>
  <si>
    <t xml:space="preserve">ORD-1205</t>
  </si>
  <si>
    <t xml:space="preserve">ORD-1206</t>
  </si>
  <si>
    <t xml:space="preserve">ORD-1207</t>
  </si>
  <si>
    <t xml:space="preserve">ORD-1208</t>
  </si>
  <si>
    <t xml:space="preserve">ORD-1209</t>
  </si>
  <si>
    <t xml:space="preserve">ORD-1210</t>
  </si>
  <si>
    <t xml:space="preserve">ORD-1211</t>
  </si>
  <si>
    <t xml:space="preserve">ORD-1212</t>
  </si>
  <si>
    <t xml:space="preserve">ORD-1213</t>
  </si>
  <si>
    <t xml:space="preserve">ORD-1214</t>
  </si>
  <si>
    <t xml:space="preserve">ORD-1215</t>
  </si>
  <si>
    <t xml:space="preserve">Nov</t>
  </si>
  <si>
    <t xml:space="preserve">ORD-1216</t>
  </si>
  <si>
    <t xml:space="preserve">ORD-1217</t>
  </si>
  <si>
    <t xml:space="preserve">ORD-1218</t>
  </si>
  <si>
    <t xml:space="preserve">ORD-1219</t>
  </si>
  <si>
    <t xml:space="preserve">ORD-1220</t>
  </si>
  <si>
    <t xml:space="preserve">ORD-1221</t>
  </si>
  <si>
    <t xml:space="preserve">ORD-1222</t>
  </si>
  <si>
    <t xml:space="preserve">ORD-1223</t>
  </si>
  <si>
    <t xml:space="preserve">ORD-1224</t>
  </si>
  <si>
    <t xml:space="preserve">ORD-1225</t>
  </si>
  <si>
    <t xml:space="preserve">ORD-1226</t>
  </si>
  <si>
    <t xml:space="preserve">ORD-1227</t>
  </si>
  <si>
    <t xml:space="preserve">ORD-1228</t>
  </si>
  <si>
    <t xml:space="preserve">ORD-1229</t>
  </si>
  <si>
    <t xml:space="preserve">ORD-1230</t>
  </si>
  <si>
    <t xml:space="preserve">ORD-1231</t>
  </si>
  <si>
    <t xml:space="preserve">ORD-1232</t>
  </si>
  <si>
    <t xml:space="preserve">ORD-1233</t>
  </si>
  <si>
    <t xml:space="preserve">ORD-1234</t>
  </si>
  <si>
    <t xml:space="preserve">ORD-1235</t>
  </si>
  <si>
    <t xml:space="preserve">Dec</t>
  </si>
  <si>
    <t xml:space="preserve">ORD-1236</t>
  </si>
  <si>
    <t xml:space="preserve">ORD-1237</t>
  </si>
  <si>
    <t xml:space="preserve">ORD-1238</t>
  </si>
  <si>
    <t xml:space="preserve">ORD-1239</t>
  </si>
  <si>
    <t xml:space="preserve">ORD-1240</t>
  </si>
  <si>
    <t xml:space="preserve">ORD-1241</t>
  </si>
  <si>
    <t xml:space="preserve">ORD-1242</t>
  </si>
  <si>
    <t xml:space="preserve">ORD-1243</t>
  </si>
  <si>
    <t xml:space="preserve">ORD-1244</t>
  </si>
  <si>
    <t xml:space="preserve">ORD-1245</t>
  </si>
  <si>
    <t xml:space="preserve">ORD-1246</t>
  </si>
  <si>
    <t xml:space="preserve">ORD-1247</t>
  </si>
  <si>
    <t xml:space="preserve">ORD-1248</t>
  </si>
  <si>
    <t xml:space="preserve">ORD-1249</t>
  </si>
  <si>
    <t xml:space="preserve">ORD-1250</t>
  </si>
  <si>
    <t xml:space="preserve">ORD-1251</t>
  </si>
  <si>
    <t xml:space="preserve">ORD-1252</t>
  </si>
  <si>
    <t xml:space="preserve">ORD-1253</t>
  </si>
  <si>
    <t xml:space="preserve">TOTAL</t>
  </si>
  <si>
    <t xml:space="preserve">Monthly Sales Summary — FY 2024</t>
  </si>
  <si>
    <t xml:space="preserve">Orders</t>
  </si>
  <si>
    <t xml:space="preserve">Avg Order Value (₹)</t>
  </si>
  <si>
    <t xml:space="preserve">FULL YEAR</t>
  </si>
  <si>
    <t xml:space="preserve">Revenue by Category — FY 2024</t>
  </si>
  <si>
    <t xml:space="preserve">% of Total Revenue</t>
  </si>
  <si>
    <t xml:space="preserve">Revenue by Region — FY 2024</t>
  </si>
  <si>
    <t xml:space="preserve">KPI Summary — FY 2024</t>
  </si>
  <si>
    <t xml:space="preserve">KPI</t>
  </si>
  <si>
    <t xml:space="preserve">Value</t>
  </si>
  <si>
    <t xml:space="preserve">Notes</t>
  </si>
  <si>
    <t xml:space="preserve">Total Orders</t>
  </si>
  <si>
    <t xml:space="preserve">Count of all transactions</t>
  </si>
  <si>
    <t xml:space="preserve">Total Units Sold</t>
  </si>
  <si>
    <t xml:space="preserve">Sum of units sold</t>
  </si>
  <si>
    <t xml:space="preserve">Before discounts</t>
  </si>
  <si>
    <t xml:space="preserve">Total Discounts (₹)</t>
  </si>
  <si>
    <t xml:space="preserve">Discount amount given</t>
  </si>
  <si>
    <t xml:space="preserve">After discounts</t>
  </si>
  <si>
    <t xml:space="preserve">Net Rev / Orders</t>
  </si>
  <si>
    <t xml:space="preserve">Best Month</t>
  </si>
  <si>
    <t xml:space="preserve">Highest net revenue month</t>
  </si>
  <si>
    <t xml:space="preserve">Top Category</t>
  </si>
  <si>
    <t xml:space="preserve">By net revenue</t>
  </si>
  <si>
    <t xml:space="preserve">Top Region</t>
  </si>
</sst>
</file>

<file path=xl/styles.xml><?xml version="1.0" encoding="utf-8"?>
<styleSheet xmlns="http://schemas.openxmlformats.org/spreadsheetml/2006/main">
  <numFmts count="3">
    <numFmt numFmtId="164" formatCode="General"/>
    <numFmt numFmtId="165" formatCode="#,##0"/>
    <numFmt numFmtId="166" formatCode="0.0%"/>
  </numFmts>
  <fonts count="10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3"/>
      <color rgb="FFFFFFFF"/>
      <name val="Arial"/>
      <family val="0"/>
      <charset val="1"/>
    </font>
    <font>
      <b val="true"/>
      <sz val="11"/>
      <color rgb="FFFFFFFF"/>
      <name val="Arial"/>
      <family val="0"/>
      <charset val="1"/>
    </font>
    <font>
      <sz val="10"/>
      <name val="Arial"/>
      <family val="0"/>
      <charset val="1"/>
    </font>
    <font>
      <b val="true"/>
      <sz val="10"/>
      <color rgb="FF1F3864"/>
      <name val="Arial"/>
      <family val="0"/>
      <charset val="1"/>
    </font>
    <font>
      <b val="true"/>
      <sz val="10"/>
      <color rgb="FFFFFFFF"/>
      <name val="Arial"/>
      <family val="0"/>
      <charset val="1"/>
    </font>
    <font>
      <b val="true"/>
      <sz val="10"/>
      <name val="Arial"/>
      <family val="0"/>
      <charset val="1"/>
    </font>
  </fonts>
  <fills count="7">
    <fill>
      <patternFill patternType="none"/>
    </fill>
    <fill>
      <patternFill patternType="gray125"/>
    </fill>
    <fill>
      <patternFill patternType="solid">
        <fgColor rgb="FF1F3864"/>
        <bgColor rgb="FF333333"/>
      </patternFill>
    </fill>
    <fill>
      <patternFill patternType="solid">
        <fgColor rgb="FFFFFFFF"/>
        <bgColor rgb="FFEBF3FB"/>
      </patternFill>
    </fill>
    <fill>
      <patternFill patternType="solid">
        <fgColor rgb="FFEBF3FB"/>
        <bgColor rgb="FFFFFFFF"/>
      </patternFill>
    </fill>
    <fill>
      <patternFill patternType="solid">
        <fgColor rgb="FFD6E4F0"/>
        <bgColor rgb="FFEBF3FB"/>
      </patternFill>
    </fill>
    <fill>
      <patternFill patternType="solid">
        <fgColor rgb="FF2E75B6"/>
        <bgColor rgb="FF0066CC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BDD7EE"/>
      </left>
      <right style="thin">
        <color rgb="FFBDD7EE"/>
      </right>
      <top style="thin">
        <color rgb="FFBDD7EE"/>
      </top>
      <bottom style="thin">
        <color rgb="FFBDD7EE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7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5" fillId="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6" fillId="3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6" fillId="3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5" fontId="6" fillId="3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6" fontId="6" fillId="3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6" fillId="4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6" fillId="4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5" fontId="6" fillId="4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6" fontId="6" fillId="4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7" fillId="5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5" fontId="7" fillId="5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6" fontId="7" fillId="5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8" fillId="6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9" fillId="3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9" fillId="4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EBF3FB"/>
      <rgbColor rgb="FF660066"/>
      <rgbColor rgb="FFFF8080"/>
      <rgbColor rgb="FF0066CC"/>
      <rgbColor rgb="FFBDD7EE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D6E4F0"/>
      <rgbColor rgb="FFCCFFCC"/>
      <rgbColor rgb="FFFFFF99"/>
      <rgbColor rgb="FF99CCFF"/>
      <rgbColor rgb="FFFF99CC"/>
      <rgbColor rgb="FFCC99FF"/>
      <rgbColor rgb="FFFFCC99"/>
      <rgbColor rgb="FF2E75B6"/>
      <rgbColor rgb="FF33CCCC"/>
      <rgbColor rgb="FF99CC00"/>
      <rgbColor rgb="FFFFCC00"/>
      <rgbColor rgb="FFFF9900"/>
      <rgbColor rgb="FFFF6600"/>
      <rgbColor rgb="FF666699"/>
      <rgbColor rgb="FF969696"/>
      <rgbColor rgb="FF1F3864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M256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0" ySplit="2" topLeftCell="A3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2"/>
    <col collapsed="false" customWidth="true" hidden="false" outlineLevel="0" max="3" min="2" style="0" width="7"/>
    <col collapsed="false" customWidth="true" hidden="false" outlineLevel="0" max="4" min="4" style="0" width="9"/>
    <col collapsed="false" customWidth="true" hidden="false" outlineLevel="0" max="5" min="5" style="0" width="18"/>
    <col collapsed="false" customWidth="true" hidden="false" outlineLevel="0" max="6" min="6" style="0" width="15"/>
    <col collapsed="false" customWidth="true" hidden="false" outlineLevel="0" max="7" min="7" style="0" width="18"/>
    <col collapsed="false" customWidth="true" hidden="false" outlineLevel="0" max="8" min="8" style="0" width="11"/>
    <col collapsed="false" customWidth="true" hidden="false" outlineLevel="0" max="9" min="9" style="0" width="14"/>
    <col collapsed="false" customWidth="true" hidden="false" outlineLevel="0" max="10" min="10" style="0" width="16"/>
    <col collapsed="false" customWidth="true" hidden="false" outlineLevel="0" max="11" min="11" style="0" width="11"/>
    <col collapsed="false" customWidth="true" hidden="false" outlineLevel="0" max="13" min="12" style="0" width="15"/>
  </cols>
  <sheetData>
    <row r="1" customFormat="false" ht="34.5" hidden="false" customHeight="true" outlineLevel="0" collapsed="false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</row>
    <row r="2" customFormat="false" ht="19.5" hidden="false" customHeight="true" outlineLevel="0" collapsed="false">
      <c r="A2" s="2" t="s">
        <v>1</v>
      </c>
      <c r="B2" s="2" t="s">
        <v>2</v>
      </c>
      <c r="C2" s="2" t="s">
        <v>3</v>
      </c>
      <c r="D2" s="2" t="s">
        <v>4</v>
      </c>
      <c r="E2" s="2" t="s">
        <v>5</v>
      </c>
      <c r="F2" s="2" t="s">
        <v>6</v>
      </c>
      <c r="G2" s="2" t="s">
        <v>7</v>
      </c>
      <c r="H2" s="2" t="s">
        <v>8</v>
      </c>
      <c r="I2" s="2" t="s">
        <v>9</v>
      </c>
      <c r="J2" s="2" t="s">
        <v>10</v>
      </c>
      <c r="K2" s="2" t="s">
        <v>11</v>
      </c>
      <c r="L2" s="2" t="s">
        <v>12</v>
      </c>
      <c r="M2" s="2" t="s">
        <v>13</v>
      </c>
    </row>
    <row r="3" customFormat="false" ht="15.75" hidden="false" customHeight="true" outlineLevel="0" collapsed="false">
      <c r="A3" s="3" t="s">
        <v>14</v>
      </c>
      <c r="B3" s="4" t="s">
        <v>15</v>
      </c>
      <c r="C3" s="4" t="s">
        <v>16</v>
      </c>
      <c r="D3" s="4" t="s">
        <v>17</v>
      </c>
      <c r="E3" s="3" t="s">
        <v>18</v>
      </c>
      <c r="F3" s="3" t="s">
        <v>19</v>
      </c>
      <c r="G3" s="3" t="s">
        <v>20</v>
      </c>
      <c r="H3" s="4" t="n">
        <v>8</v>
      </c>
      <c r="I3" s="5" t="n">
        <v>28407.06</v>
      </c>
      <c r="J3" s="5" t="n">
        <f aca="false">H3*I3</f>
        <v>227256.48</v>
      </c>
      <c r="K3" s="6" t="n">
        <v>0</v>
      </c>
      <c r="L3" s="5" t="n">
        <f aca="false">J3*K3</f>
        <v>0</v>
      </c>
      <c r="M3" s="5" t="n">
        <f aca="false">J3-L3</f>
        <v>227256.48</v>
      </c>
    </row>
    <row r="4" customFormat="false" ht="15.75" hidden="false" customHeight="true" outlineLevel="0" collapsed="false">
      <c r="A4" s="7" t="s">
        <v>21</v>
      </c>
      <c r="B4" s="8" t="s">
        <v>15</v>
      </c>
      <c r="C4" s="8" t="s">
        <v>16</v>
      </c>
      <c r="D4" s="8" t="s">
        <v>22</v>
      </c>
      <c r="E4" s="7" t="s">
        <v>23</v>
      </c>
      <c r="F4" s="7" t="s">
        <v>24</v>
      </c>
      <c r="G4" s="7" t="s">
        <v>25</v>
      </c>
      <c r="H4" s="8" t="n">
        <v>1</v>
      </c>
      <c r="I4" s="9" t="n">
        <v>619.96</v>
      </c>
      <c r="J4" s="9" t="n">
        <f aca="false">H4*I4</f>
        <v>619.96</v>
      </c>
      <c r="K4" s="10" t="n">
        <v>0</v>
      </c>
      <c r="L4" s="9" t="n">
        <f aca="false">J4*K4</f>
        <v>0</v>
      </c>
      <c r="M4" s="9" t="n">
        <f aca="false">J4-L4</f>
        <v>619.96</v>
      </c>
    </row>
    <row r="5" customFormat="false" ht="15.75" hidden="false" customHeight="true" outlineLevel="0" collapsed="false">
      <c r="A5" s="3" t="s">
        <v>26</v>
      </c>
      <c r="B5" s="4" t="s">
        <v>15</v>
      </c>
      <c r="C5" s="4" t="s">
        <v>16</v>
      </c>
      <c r="D5" s="4" t="s">
        <v>27</v>
      </c>
      <c r="E5" s="3" t="s">
        <v>28</v>
      </c>
      <c r="F5" s="3" t="s">
        <v>24</v>
      </c>
      <c r="G5" s="3" t="s">
        <v>29</v>
      </c>
      <c r="H5" s="4" t="n">
        <v>7</v>
      </c>
      <c r="I5" s="5" t="n">
        <v>1018.25</v>
      </c>
      <c r="J5" s="5" t="n">
        <f aca="false">H5*I5</f>
        <v>7127.75</v>
      </c>
      <c r="K5" s="6" t="n">
        <v>0.15</v>
      </c>
      <c r="L5" s="5" t="n">
        <f aca="false">J5*K5</f>
        <v>1069.1625</v>
      </c>
      <c r="M5" s="5" t="n">
        <f aca="false">J5-L5</f>
        <v>6058.5875</v>
      </c>
    </row>
    <row r="6" customFormat="false" ht="15.75" hidden="false" customHeight="true" outlineLevel="0" collapsed="false">
      <c r="A6" s="7" t="s">
        <v>30</v>
      </c>
      <c r="B6" s="8" t="s">
        <v>15</v>
      </c>
      <c r="C6" s="8" t="s">
        <v>16</v>
      </c>
      <c r="D6" s="8" t="s">
        <v>31</v>
      </c>
      <c r="E6" s="7" t="s">
        <v>32</v>
      </c>
      <c r="F6" s="7" t="s">
        <v>24</v>
      </c>
      <c r="G6" s="7" t="s">
        <v>33</v>
      </c>
      <c r="H6" s="8" t="n">
        <v>19</v>
      </c>
      <c r="I6" s="9" t="n">
        <v>738.04</v>
      </c>
      <c r="J6" s="9" t="n">
        <f aca="false">H6*I6</f>
        <v>14022.76</v>
      </c>
      <c r="K6" s="10" t="n">
        <v>0.2</v>
      </c>
      <c r="L6" s="9" t="n">
        <f aca="false">J6*K6</f>
        <v>2804.552</v>
      </c>
      <c r="M6" s="9" t="n">
        <f aca="false">J6-L6</f>
        <v>11218.208</v>
      </c>
    </row>
    <row r="7" customFormat="false" ht="15.75" hidden="false" customHeight="true" outlineLevel="0" collapsed="false">
      <c r="A7" s="3" t="s">
        <v>34</v>
      </c>
      <c r="B7" s="4" t="s">
        <v>15</v>
      </c>
      <c r="C7" s="4" t="s">
        <v>16</v>
      </c>
      <c r="D7" s="4" t="s">
        <v>22</v>
      </c>
      <c r="E7" s="3" t="s">
        <v>35</v>
      </c>
      <c r="F7" s="3" t="s">
        <v>19</v>
      </c>
      <c r="G7" s="3" t="s">
        <v>36</v>
      </c>
      <c r="H7" s="4" t="n">
        <v>9</v>
      </c>
      <c r="I7" s="5" t="n">
        <v>28853.43</v>
      </c>
      <c r="J7" s="5" t="n">
        <f aca="false">H7*I7</f>
        <v>259680.87</v>
      </c>
      <c r="K7" s="6" t="n">
        <v>0.2</v>
      </c>
      <c r="L7" s="5" t="n">
        <f aca="false">J7*K7</f>
        <v>51936.174</v>
      </c>
      <c r="M7" s="5" t="n">
        <f aca="false">J7-L7</f>
        <v>207744.696</v>
      </c>
    </row>
    <row r="8" customFormat="false" ht="15.75" hidden="false" customHeight="true" outlineLevel="0" collapsed="false">
      <c r="A8" s="7" t="s">
        <v>37</v>
      </c>
      <c r="B8" s="8" t="s">
        <v>15</v>
      </c>
      <c r="C8" s="8" t="s">
        <v>16</v>
      </c>
      <c r="D8" s="8" t="s">
        <v>27</v>
      </c>
      <c r="E8" s="7" t="s">
        <v>38</v>
      </c>
      <c r="F8" s="7" t="s">
        <v>39</v>
      </c>
      <c r="G8" s="7" t="s">
        <v>40</v>
      </c>
      <c r="H8" s="8" t="n">
        <v>4</v>
      </c>
      <c r="I8" s="9" t="n">
        <v>4442.33</v>
      </c>
      <c r="J8" s="9" t="n">
        <f aca="false">H8*I8</f>
        <v>17769.32</v>
      </c>
      <c r="K8" s="10" t="n">
        <v>0</v>
      </c>
      <c r="L8" s="9" t="n">
        <f aca="false">J8*K8</f>
        <v>0</v>
      </c>
      <c r="M8" s="9" t="n">
        <f aca="false">J8-L8</f>
        <v>17769.32</v>
      </c>
    </row>
    <row r="9" customFormat="false" ht="15.75" hidden="false" customHeight="true" outlineLevel="0" collapsed="false">
      <c r="A9" s="3" t="s">
        <v>41</v>
      </c>
      <c r="B9" s="4" t="s">
        <v>15</v>
      </c>
      <c r="C9" s="4" t="s">
        <v>16</v>
      </c>
      <c r="D9" s="4" t="s">
        <v>27</v>
      </c>
      <c r="E9" s="3" t="s">
        <v>32</v>
      </c>
      <c r="F9" s="3" t="s">
        <v>24</v>
      </c>
      <c r="G9" s="3" t="s">
        <v>42</v>
      </c>
      <c r="H9" s="4" t="n">
        <v>18</v>
      </c>
      <c r="I9" s="5" t="n">
        <v>639.89</v>
      </c>
      <c r="J9" s="5" t="n">
        <f aca="false">H9*I9</f>
        <v>11518.02</v>
      </c>
      <c r="K9" s="6" t="n">
        <v>0.05</v>
      </c>
      <c r="L9" s="5" t="n">
        <f aca="false">J9*K9</f>
        <v>575.901</v>
      </c>
      <c r="M9" s="5" t="n">
        <f aca="false">J9-L9</f>
        <v>10942.119</v>
      </c>
    </row>
    <row r="10" customFormat="false" ht="15.75" hidden="false" customHeight="true" outlineLevel="0" collapsed="false">
      <c r="A10" s="7" t="s">
        <v>43</v>
      </c>
      <c r="B10" s="8" t="s">
        <v>15</v>
      </c>
      <c r="C10" s="8" t="s">
        <v>16</v>
      </c>
      <c r="D10" s="8" t="s">
        <v>17</v>
      </c>
      <c r="E10" s="7" t="s">
        <v>44</v>
      </c>
      <c r="F10" s="7" t="s">
        <v>19</v>
      </c>
      <c r="G10" s="7" t="s">
        <v>45</v>
      </c>
      <c r="H10" s="8" t="n">
        <v>12</v>
      </c>
      <c r="I10" s="9" t="n">
        <v>40665.86</v>
      </c>
      <c r="J10" s="9" t="n">
        <f aca="false">H10*I10</f>
        <v>487990.32</v>
      </c>
      <c r="K10" s="10" t="n">
        <v>0.15</v>
      </c>
      <c r="L10" s="9" t="n">
        <f aca="false">J10*K10</f>
        <v>73198.548</v>
      </c>
      <c r="M10" s="9" t="n">
        <f aca="false">J10-L10</f>
        <v>414791.772</v>
      </c>
    </row>
    <row r="11" customFormat="false" ht="15.75" hidden="false" customHeight="true" outlineLevel="0" collapsed="false">
      <c r="A11" s="3" t="s">
        <v>46</v>
      </c>
      <c r="B11" s="4" t="s">
        <v>15</v>
      </c>
      <c r="C11" s="4" t="s">
        <v>16</v>
      </c>
      <c r="D11" s="4" t="s">
        <v>31</v>
      </c>
      <c r="E11" s="3" t="s">
        <v>47</v>
      </c>
      <c r="F11" s="3" t="s">
        <v>19</v>
      </c>
      <c r="G11" s="3" t="s">
        <v>20</v>
      </c>
      <c r="H11" s="4" t="n">
        <v>3</v>
      </c>
      <c r="I11" s="5" t="n">
        <v>48448.9</v>
      </c>
      <c r="J11" s="5" t="n">
        <f aca="false">H11*I11</f>
        <v>145346.7</v>
      </c>
      <c r="K11" s="6" t="n">
        <v>0.2</v>
      </c>
      <c r="L11" s="5" t="n">
        <f aca="false">J11*K11</f>
        <v>29069.34</v>
      </c>
      <c r="M11" s="5" t="n">
        <f aca="false">J11-L11</f>
        <v>116277.36</v>
      </c>
    </row>
    <row r="12" customFormat="false" ht="15.75" hidden="false" customHeight="true" outlineLevel="0" collapsed="false">
      <c r="A12" s="7" t="s">
        <v>48</v>
      </c>
      <c r="B12" s="8" t="s">
        <v>15</v>
      </c>
      <c r="C12" s="8" t="s">
        <v>16</v>
      </c>
      <c r="D12" s="8" t="s">
        <v>17</v>
      </c>
      <c r="E12" s="7" t="s">
        <v>32</v>
      </c>
      <c r="F12" s="7" t="s">
        <v>19</v>
      </c>
      <c r="G12" s="7" t="s">
        <v>49</v>
      </c>
      <c r="H12" s="8" t="n">
        <v>12</v>
      </c>
      <c r="I12" s="9" t="n">
        <v>29054.31</v>
      </c>
      <c r="J12" s="9" t="n">
        <f aca="false">H12*I12</f>
        <v>348651.72</v>
      </c>
      <c r="K12" s="10" t="n">
        <v>0</v>
      </c>
      <c r="L12" s="9" t="n">
        <f aca="false">J12*K12</f>
        <v>0</v>
      </c>
      <c r="M12" s="9" t="n">
        <f aca="false">J12-L12</f>
        <v>348651.72</v>
      </c>
    </row>
    <row r="13" customFormat="false" ht="15.75" hidden="false" customHeight="true" outlineLevel="0" collapsed="false">
      <c r="A13" s="3" t="s">
        <v>50</v>
      </c>
      <c r="B13" s="4" t="s">
        <v>15</v>
      </c>
      <c r="C13" s="4" t="s">
        <v>16</v>
      </c>
      <c r="D13" s="4" t="s">
        <v>27</v>
      </c>
      <c r="E13" s="3" t="s">
        <v>44</v>
      </c>
      <c r="F13" s="3" t="s">
        <v>51</v>
      </c>
      <c r="G13" s="3" t="s">
        <v>52</v>
      </c>
      <c r="H13" s="4" t="n">
        <v>6</v>
      </c>
      <c r="I13" s="5" t="n">
        <v>2818.28</v>
      </c>
      <c r="J13" s="5" t="n">
        <f aca="false">H13*I13</f>
        <v>16909.68</v>
      </c>
      <c r="K13" s="6" t="n">
        <v>0</v>
      </c>
      <c r="L13" s="5" t="n">
        <f aca="false">J13*K13</f>
        <v>0</v>
      </c>
      <c r="M13" s="5" t="n">
        <f aca="false">J13-L13</f>
        <v>16909.68</v>
      </c>
    </row>
    <row r="14" customFormat="false" ht="15.75" hidden="false" customHeight="true" outlineLevel="0" collapsed="false">
      <c r="A14" s="7" t="s">
        <v>53</v>
      </c>
      <c r="B14" s="8" t="s">
        <v>15</v>
      </c>
      <c r="C14" s="8" t="s">
        <v>16</v>
      </c>
      <c r="D14" s="8" t="s">
        <v>22</v>
      </c>
      <c r="E14" s="7" t="s">
        <v>47</v>
      </c>
      <c r="F14" s="7" t="s">
        <v>51</v>
      </c>
      <c r="G14" s="7" t="s">
        <v>54</v>
      </c>
      <c r="H14" s="8" t="n">
        <v>18</v>
      </c>
      <c r="I14" s="9" t="n">
        <v>2189.23</v>
      </c>
      <c r="J14" s="9" t="n">
        <f aca="false">H14*I14</f>
        <v>39406.14</v>
      </c>
      <c r="K14" s="10" t="n">
        <v>0</v>
      </c>
      <c r="L14" s="9" t="n">
        <f aca="false">J14*K14</f>
        <v>0</v>
      </c>
      <c r="M14" s="9" t="n">
        <f aca="false">J14-L14</f>
        <v>39406.14</v>
      </c>
    </row>
    <row r="15" customFormat="false" ht="15.75" hidden="false" customHeight="true" outlineLevel="0" collapsed="false">
      <c r="A15" s="3" t="s">
        <v>55</v>
      </c>
      <c r="B15" s="4" t="s">
        <v>15</v>
      </c>
      <c r="C15" s="4" t="s">
        <v>16</v>
      </c>
      <c r="D15" s="4" t="s">
        <v>27</v>
      </c>
      <c r="E15" s="3" t="s">
        <v>35</v>
      </c>
      <c r="F15" s="3" t="s">
        <v>19</v>
      </c>
      <c r="G15" s="3" t="s">
        <v>36</v>
      </c>
      <c r="H15" s="4" t="n">
        <v>13</v>
      </c>
      <c r="I15" s="5" t="n">
        <v>31996.74</v>
      </c>
      <c r="J15" s="5" t="n">
        <f aca="false">H15*I15</f>
        <v>415957.62</v>
      </c>
      <c r="K15" s="6" t="n">
        <v>0</v>
      </c>
      <c r="L15" s="5" t="n">
        <f aca="false">J15*K15</f>
        <v>0</v>
      </c>
      <c r="M15" s="5" t="n">
        <f aca="false">J15-L15</f>
        <v>415957.62</v>
      </c>
    </row>
    <row r="16" customFormat="false" ht="15.75" hidden="false" customHeight="true" outlineLevel="0" collapsed="false">
      <c r="A16" s="7" t="s">
        <v>56</v>
      </c>
      <c r="B16" s="8" t="s">
        <v>15</v>
      </c>
      <c r="C16" s="8" t="s">
        <v>16</v>
      </c>
      <c r="D16" s="8" t="s">
        <v>31</v>
      </c>
      <c r="E16" s="7" t="s">
        <v>32</v>
      </c>
      <c r="F16" s="7" t="s">
        <v>24</v>
      </c>
      <c r="G16" s="7" t="s">
        <v>42</v>
      </c>
      <c r="H16" s="8" t="n">
        <v>13</v>
      </c>
      <c r="I16" s="9" t="n">
        <v>1126.2</v>
      </c>
      <c r="J16" s="9" t="n">
        <f aca="false">H16*I16</f>
        <v>14640.6</v>
      </c>
      <c r="K16" s="10" t="n">
        <v>0.15</v>
      </c>
      <c r="L16" s="9" t="n">
        <f aca="false">J16*K16</f>
        <v>2196.09</v>
      </c>
      <c r="M16" s="9" t="n">
        <f aca="false">J16-L16</f>
        <v>12444.51</v>
      </c>
    </row>
    <row r="17" customFormat="false" ht="15.75" hidden="false" customHeight="true" outlineLevel="0" collapsed="false">
      <c r="A17" s="3" t="s">
        <v>57</v>
      </c>
      <c r="B17" s="4" t="s">
        <v>15</v>
      </c>
      <c r="C17" s="4" t="s">
        <v>16</v>
      </c>
      <c r="D17" s="4" t="s">
        <v>17</v>
      </c>
      <c r="E17" s="3" t="s">
        <v>58</v>
      </c>
      <c r="F17" s="3" t="s">
        <v>59</v>
      </c>
      <c r="G17" s="3" t="s">
        <v>60</v>
      </c>
      <c r="H17" s="4" t="n">
        <v>8</v>
      </c>
      <c r="I17" s="5" t="n">
        <v>1555.19</v>
      </c>
      <c r="J17" s="5" t="n">
        <f aca="false">H17*I17</f>
        <v>12441.52</v>
      </c>
      <c r="K17" s="6" t="n">
        <v>0.1</v>
      </c>
      <c r="L17" s="5" t="n">
        <f aca="false">J17*K17</f>
        <v>1244.152</v>
      </c>
      <c r="M17" s="5" t="n">
        <f aca="false">J17-L17</f>
        <v>11197.368</v>
      </c>
    </row>
    <row r="18" customFormat="false" ht="15.75" hidden="false" customHeight="true" outlineLevel="0" collapsed="false">
      <c r="A18" s="7" t="s">
        <v>61</v>
      </c>
      <c r="B18" s="8" t="s">
        <v>15</v>
      </c>
      <c r="C18" s="8" t="s">
        <v>16</v>
      </c>
      <c r="D18" s="8" t="s">
        <v>22</v>
      </c>
      <c r="E18" s="7" t="s">
        <v>44</v>
      </c>
      <c r="F18" s="7" t="s">
        <v>39</v>
      </c>
      <c r="G18" s="7" t="s">
        <v>62</v>
      </c>
      <c r="H18" s="8" t="n">
        <v>13</v>
      </c>
      <c r="I18" s="9" t="n">
        <v>4453.19</v>
      </c>
      <c r="J18" s="9" t="n">
        <f aca="false">H18*I18</f>
        <v>57891.47</v>
      </c>
      <c r="K18" s="10" t="n">
        <v>0</v>
      </c>
      <c r="L18" s="9" t="n">
        <f aca="false">J18*K18</f>
        <v>0</v>
      </c>
      <c r="M18" s="9" t="n">
        <f aca="false">J18-L18</f>
        <v>57891.47</v>
      </c>
    </row>
    <row r="19" customFormat="false" ht="15.75" hidden="false" customHeight="true" outlineLevel="0" collapsed="false">
      <c r="A19" s="3" t="s">
        <v>63</v>
      </c>
      <c r="B19" s="4" t="s">
        <v>15</v>
      </c>
      <c r="C19" s="4" t="s">
        <v>16</v>
      </c>
      <c r="D19" s="4" t="s">
        <v>27</v>
      </c>
      <c r="E19" s="3" t="s">
        <v>23</v>
      </c>
      <c r="F19" s="3" t="s">
        <v>24</v>
      </c>
      <c r="G19" s="3" t="s">
        <v>33</v>
      </c>
      <c r="H19" s="4" t="n">
        <v>4</v>
      </c>
      <c r="I19" s="5" t="n">
        <v>657.82</v>
      </c>
      <c r="J19" s="5" t="n">
        <f aca="false">H19*I19</f>
        <v>2631.28</v>
      </c>
      <c r="K19" s="6" t="n">
        <v>0</v>
      </c>
      <c r="L19" s="5" t="n">
        <f aca="false">J19*K19</f>
        <v>0</v>
      </c>
      <c r="M19" s="5" t="n">
        <f aca="false">J19-L19</f>
        <v>2631.28</v>
      </c>
    </row>
    <row r="20" customFormat="false" ht="15.75" hidden="false" customHeight="true" outlineLevel="0" collapsed="false">
      <c r="A20" s="7" t="s">
        <v>64</v>
      </c>
      <c r="B20" s="8" t="s">
        <v>15</v>
      </c>
      <c r="C20" s="8" t="s">
        <v>16</v>
      </c>
      <c r="D20" s="8" t="s">
        <v>27</v>
      </c>
      <c r="E20" s="7" t="s">
        <v>38</v>
      </c>
      <c r="F20" s="7" t="s">
        <v>59</v>
      </c>
      <c r="G20" s="7" t="s">
        <v>65</v>
      </c>
      <c r="H20" s="8" t="n">
        <v>13</v>
      </c>
      <c r="I20" s="9" t="n">
        <v>1412.05</v>
      </c>
      <c r="J20" s="9" t="n">
        <f aca="false">H20*I20</f>
        <v>18356.65</v>
      </c>
      <c r="K20" s="10" t="n">
        <v>0.05</v>
      </c>
      <c r="L20" s="9" t="n">
        <f aca="false">J20*K20</f>
        <v>917.8325</v>
      </c>
      <c r="M20" s="9" t="n">
        <f aca="false">J20-L20</f>
        <v>17438.8175</v>
      </c>
    </row>
    <row r="21" customFormat="false" ht="15.75" hidden="false" customHeight="true" outlineLevel="0" collapsed="false">
      <c r="A21" s="3" t="s">
        <v>66</v>
      </c>
      <c r="B21" s="4" t="s">
        <v>15</v>
      </c>
      <c r="C21" s="4" t="s">
        <v>16</v>
      </c>
      <c r="D21" s="4" t="s">
        <v>27</v>
      </c>
      <c r="E21" s="3" t="s">
        <v>67</v>
      </c>
      <c r="F21" s="3" t="s">
        <v>24</v>
      </c>
      <c r="G21" s="3" t="s">
        <v>42</v>
      </c>
      <c r="H21" s="4" t="n">
        <v>18</v>
      </c>
      <c r="I21" s="5" t="n">
        <v>1040.56</v>
      </c>
      <c r="J21" s="5" t="n">
        <f aca="false">H21*I21</f>
        <v>18730.08</v>
      </c>
      <c r="K21" s="6" t="n">
        <v>0.2</v>
      </c>
      <c r="L21" s="5" t="n">
        <f aca="false">J21*K21</f>
        <v>3746.016</v>
      </c>
      <c r="M21" s="5" t="n">
        <f aca="false">J21-L21</f>
        <v>14984.064</v>
      </c>
    </row>
    <row r="22" customFormat="false" ht="15.75" hidden="false" customHeight="true" outlineLevel="0" collapsed="false">
      <c r="A22" s="7" t="s">
        <v>68</v>
      </c>
      <c r="B22" s="8" t="s">
        <v>15</v>
      </c>
      <c r="C22" s="8" t="s">
        <v>16</v>
      </c>
      <c r="D22" s="8" t="s">
        <v>17</v>
      </c>
      <c r="E22" s="7" t="s">
        <v>38</v>
      </c>
      <c r="F22" s="7" t="s">
        <v>39</v>
      </c>
      <c r="G22" s="7" t="s">
        <v>40</v>
      </c>
      <c r="H22" s="8" t="n">
        <v>6</v>
      </c>
      <c r="I22" s="9" t="n">
        <v>4783.41</v>
      </c>
      <c r="J22" s="9" t="n">
        <f aca="false">H22*I22</f>
        <v>28700.46</v>
      </c>
      <c r="K22" s="10" t="n">
        <v>0.15</v>
      </c>
      <c r="L22" s="9" t="n">
        <f aca="false">J22*K22</f>
        <v>4305.069</v>
      </c>
      <c r="M22" s="9" t="n">
        <f aca="false">J22-L22</f>
        <v>24395.391</v>
      </c>
    </row>
    <row r="23" customFormat="false" ht="15.75" hidden="false" customHeight="true" outlineLevel="0" collapsed="false">
      <c r="A23" s="3" t="s">
        <v>69</v>
      </c>
      <c r="B23" s="4" t="s">
        <v>15</v>
      </c>
      <c r="C23" s="4" t="s">
        <v>16</v>
      </c>
      <c r="D23" s="4" t="s">
        <v>31</v>
      </c>
      <c r="E23" s="3" t="s">
        <v>28</v>
      </c>
      <c r="F23" s="3" t="s">
        <v>39</v>
      </c>
      <c r="G23" s="3" t="s">
        <v>62</v>
      </c>
      <c r="H23" s="4" t="n">
        <v>4</v>
      </c>
      <c r="I23" s="5" t="n">
        <v>6283.87</v>
      </c>
      <c r="J23" s="5" t="n">
        <f aca="false">H23*I23</f>
        <v>25135.48</v>
      </c>
      <c r="K23" s="6" t="n">
        <v>0</v>
      </c>
      <c r="L23" s="5" t="n">
        <f aca="false">J23*K23</f>
        <v>0</v>
      </c>
      <c r="M23" s="5" t="n">
        <f aca="false">J23-L23</f>
        <v>25135.48</v>
      </c>
    </row>
    <row r="24" customFormat="false" ht="15.75" hidden="false" customHeight="true" outlineLevel="0" collapsed="false">
      <c r="A24" s="7" t="s">
        <v>70</v>
      </c>
      <c r="B24" s="8" t="s">
        <v>15</v>
      </c>
      <c r="C24" s="8" t="s">
        <v>16</v>
      </c>
      <c r="D24" s="8" t="s">
        <v>31</v>
      </c>
      <c r="E24" s="7" t="s">
        <v>58</v>
      </c>
      <c r="F24" s="7" t="s">
        <v>24</v>
      </c>
      <c r="G24" s="7" t="s">
        <v>29</v>
      </c>
      <c r="H24" s="8" t="n">
        <v>12</v>
      </c>
      <c r="I24" s="9" t="n">
        <v>1048.01</v>
      </c>
      <c r="J24" s="9" t="n">
        <f aca="false">H24*I24</f>
        <v>12576.12</v>
      </c>
      <c r="K24" s="10" t="n">
        <v>0.1</v>
      </c>
      <c r="L24" s="9" t="n">
        <f aca="false">J24*K24</f>
        <v>1257.612</v>
      </c>
      <c r="M24" s="9" t="n">
        <f aca="false">J24-L24</f>
        <v>11318.508</v>
      </c>
    </row>
    <row r="25" customFormat="false" ht="15.75" hidden="false" customHeight="true" outlineLevel="0" collapsed="false">
      <c r="A25" s="3" t="s">
        <v>71</v>
      </c>
      <c r="B25" s="4" t="s">
        <v>15</v>
      </c>
      <c r="C25" s="4" t="s">
        <v>16</v>
      </c>
      <c r="D25" s="4" t="s">
        <v>17</v>
      </c>
      <c r="E25" s="3" t="s">
        <v>32</v>
      </c>
      <c r="F25" s="3" t="s">
        <v>24</v>
      </c>
      <c r="G25" s="3" t="s">
        <v>25</v>
      </c>
      <c r="H25" s="4" t="n">
        <v>1</v>
      </c>
      <c r="I25" s="5" t="n">
        <v>631.6</v>
      </c>
      <c r="J25" s="5" t="n">
        <f aca="false">H25*I25</f>
        <v>631.6</v>
      </c>
      <c r="K25" s="6" t="n">
        <v>0</v>
      </c>
      <c r="L25" s="5" t="n">
        <f aca="false">J25*K25</f>
        <v>0</v>
      </c>
      <c r="M25" s="5" t="n">
        <f aca="false">J25-L25</f>
        <v>631.6</v>
      </c>
    </row>
    <row r="26" customFormat="false" ht="15.75" hidden="false" customHeight="true" outlineLevel="0" collapsed="false">
      <c r="A26" s="7" t="s">
        <v>72</v>
      </c>
      <c r="B26" s="8" t="s">
        <v>15</v>
      </c>
      <c r="C26" s="8" t="s">
        <v>16</v>
      </c>
      <c r="D26" s="8" t="s">
        <v>27</v>
      </c>
      <c r="E26" s="7" t="s">
        <v>18</v>
      </c>
      <c r="F26" s="7" t="s">
        <v>39</v>
      </c>
      <c r="G26" s="7" t="s">
        <v>73</v>
      </c>
      <c r="H26" s="8" t="n">
        <v>19</v>
      </c>
      <c r="I26" s="9" t="n">
        <v>6559.02</v>
      </c>
      <c r="J26" s="9" t="n">
        <f aca="false">H26*I26</f>
        <v>124621.38</v>
      </c>
      <c r="K26" s="10" t="n">
        <v>0</v>
      </c>
      <c r="L26" s="9" t="n">
        <f aca="false">J26*K26</f>
        <v>0</v>
      </c>
      <c r="M26" s="9" t="n">
        <f aca="false">J26-L26</f>
        <v>124621.38</v>
      </c>
    </row>
    <row r="27" customFormat="false" ht="15.75" hidden="false" customHeight="true" outlineLevel="0" collapsed="false">
      <c r="A27" s="3" t="s">
        <v>74</v>
      </c>
      <c r="B27" s="4" t="s">
        <v>15</v>
      </c>
      <c r="C27" s="4" t="s">
        <v>16</v>
      </c>
      <c r="D27" s="4" t="s">
        <v>31</v>
      </c>
      <c r="E27" s="3" t="s">
        <v>58</v>
      </c>
      <c r="F27" s="3" t="s">
        <v>59</v>
      </c>
      <c r="G27" s="3" t="s">
        <v>75</v>
      </c>
      <c r="H27" s="4" t="n">
        <v>16</v>
      </c>
      <c r="I27" s="5" t="n">
        <v>1748.97</v>
      </c>
      <c r="J27" s="5" t="n">
        <f aca="false">H27*I27</f>
        <v>27983.52</v>
      </c>
      <c r="K27" s="6" t="n">
        <v>0</v>
      </c>
      <c r="L27" s="5" t="n">
        <f aca="false">J27*K27</f>
        <v>0</v>
      </c>
      <c r="M27" s="5" t="n">
        <f aca="false">J27-L27</f>
        <v>27983.52</v>
      </c>
    </row>
    <row r="28" customFormat="false" ht="15.75" hidden="false" customHeight="true" outlineLevel="0" collapsed="false">
      <c r="A28" s="7" t="s">
        <v>76</v>
      </c>
      <c r="B28" s="8" t="s">
        <v>77</v>
      </c>
      <c r="C28" s="8" t="s">
        <v>16</v>
      </c>
      <c r="D28" s="8" t="s">
        <v>22</v>
      </c>
      <c r="E28" s="7" t="s">
        <v>18</v>
      </c>
      <c r="F28" s="7" t="s">
        <v>24</v>
      </c>
      <c r="G28" s="7" t="s">
        <v>29</v>
      </c>
      <c r="H28" s="8" t="n">
        <v>18</v>
      </c>
      <c r="I28" s="9" t="n">
        <v>1043.37</v>
      </c>
      <c r="J28" s="9" t="n">
        <f aca="false">H28*I28</f>
        <v>18780.66</v>
      </c>
      <c r="K28" s="10" t="n">
        <v>0.15</v>
      </c>
      <c r="L28" s="9" t="n">
        <f aca="false">J28*K28</f>
        <v>2817.099</v>
      </c>
      <c r="M28" s="9" t="n">
        <f aca="false">J28-L28</f>
        <v>15963.561</v>
      </c>
    </row>
    <row r="29" customFormat="false" ht="15.75" hidden="false" customHeight="true" outlineLevel="0" collapsed="false">
      <c r="A29" s="3" t="s">
        <v>78</v>
      </c>
      <c r="B29" s="4" t="s">
        <v>77</v>
      </c>
      <c r="C29" s="4" t="s">
        <v>16</v>
      </c>
      <c r="D29" s="4" t="s">
        <v>22</v>
      </c>
      <c r="E29" s="3" t="s">
        <v>35</v>
      </c>
      <c r="F29" s="3" t="s">
        <v>51</v>
      </c>
      <c r="G29" s="3" t="s">
        <v>52</v>
      </c>
      <c r="H29" s="4" t="n">
        <v>15</v>
      </c>
      <c r="I29" s="5" t="n">
        <v>3549.23</v>
      </c>
      <c r="J29" s="5" t="n">
        <f aca="false">H29*I29</f>
        <v>53238.45</v>
      </c>
      <c r="K29" s="6" t="n">
        <v>0.05</v>
      </c>
      <c r="L29" s="5" t="n">
        <f aca="false">J29*K29</f>
        <v>2661.9225</v>
      </c>
      <c r="M29" s="5" t="n">
        <f aca="false">J29-L29</f>
        <v>50576.5275</v>
      </c>
    </row>
    <row r="30" customFormat="false" ht="15.75" hidden="false" customHeight="true" outlineLevel="0" collapsed="false">
      <c r="A30" s="7" t="s">
        <v>79</v>
      </c>
      <c r="B30" s="8" t="s">
        <v>77</v>
      </c>
      <c r="C30" s="8" t="s">
        <v>16</v>
      </c>
      <c r="D30" s="8" t="s">
        <v>31</v>
      </c>
      <c r="E30" s="7" t="s">
        <v>67</v>
      </c>
      <c r="F30" s="7" t="s">
        <v>19</v>
      </c>
      <c r="G30" s="7" t="s">
        <v>36</v>
      </c>
      <c r="H30" s="8" t="n">
        <v>11</v>
      </c>
      <c r="I30" s="9" t="n">
        <v>25088.96</v>
      </c>
      <c r="J30" s="9" t="n">
        <f aca="false">H30*I30</f>
        <v>275978.56</v>
      </c>
      <c r="K30" s="10" t="n">
        <v>0.1</v>
      </c>
      <c r="L30" s="9" t="n">
        <f aca="false">J30*K30</f>
        <v>27597.856</v>
      </c>
      <c r="M30" s="9" t="n">
        <f aca="false">J30-L30</f>
        <v>248380.704</v>
      </c>
    </row>
    <row r="31" customFormat="false" ht="15.75" hidden="false" customHeight="true" outlineLevel="0" collapsed="false">
      <c r="A31" s="3" t="s">
        <v>80</v>
      </c>
      <c r="B31" s="4" t="s">
        <v>77</v>
      </c>
      <c r="C31" s="4" t="s">
        <v>16</v>
      </c>
      <c r="D31" s="4" t="s">
        <v>31</v>
      </c>
      <c r="E31" s="3" t="s">
        <v>23</v>
      </c>
      <c r="F31" s="3" t="s">
        <v>51</v>
      </c>
      <c r="G31" s="3" t="s">
        <v>81</v>
      </c>
      <c r="H31" s="4" t="n">
        <v>3</v>
      </c>
      <c r="I31" s="5" t="n">
        <v>3165.68</v>
      </c>
      <c r="J31" s="5" t="n">
        <f aca="false">H31*I31</f>
        <v>9497.04</v>
      </c>
      <c r="K31" s="6" t="n">
        <v>0</v>
      </c>
      <c r="L31" s="5" t="n">
        <f aca="false">J31*K31</f>
        <v>0</v>
      </c>
      <c r="M31" s="5" t="n">
        <f aca="false">J31-L31</f>
        <v>9497.04</v>
      </c>
    </row>
    <row r="32" customFormat="false" ht="15.75" hidden="false" customHeight="true" outlineLevel="0" collapsed="false">
      <c r="A32" s="7" t="s">
        <v>82</v>
      </c>
      <c r="B32" s="8" t="s">
        <v>77</v>
      </c>
      <c r="C32" s="8" t="s">
        <v>16</v>
      </c>
      <c r="D32" s="8" t="s">
        <v>27</v>
      </c>
      <c r="E32" s="7" t="s">
        <v>35</v>
      </c>
      <c r="F32" s="7" t="s">
        <v>51</v>
      </c>
      <c r="G32" s="7" t="s">
        <v>83</v>
      </c>
      <c r="H32" s="8" t="n">
        <v>3</v>
      </c>
      <c r="I32" s="9" t="n">
        <v>2778.31</v>
      </c>
      <c r="J32" s="9" t="n">
        <f aca="false">H32*I32</f>
        <v>8334.93</v>
      </c>
      <c r="K32" s="10" t="n">
        <v>0</v>
      </c>
      <c r="L32" s="9" t="n">
        <f aca="false">J32*K32</f>
        <v>0</v>
      </c>
      <c r="M32" s="9" t="n">
        <f aca="false">J32-L32</f>
        <v>8334.93</v>
      </c>
    </row>
    <row r="33" customFormat="false" ht="15.75" hidden="false" customHeight="true" outlineLevel="0" collapsed="false">
      <c r="A33" s="3" t="s">
        <v>84</v>
      </c>
      <c r="B33" s="4" t="s">
        <v>77</v>
      </c>
      <c r="C33" s="4" t="s">
        <v>16</v>
      </c>
      <c r="D33" s="4" t="s">
        <v>31</v>
      </c>
      <c r="E33" s="3" t="s">
        <v>44</v>
      </c>
      <c r="F33" s="3" t="s">
        <v>59</v>
      </c>
      <c r="G33" s="3" t="s">
        <v>60</v>
      </c>
      <c r="H33" s="4" t="n">
        <v>19</v>
      </c>
      <c r="I33" s="5" t="n">
        <v>1293.76</v>
      </c>
      <c r="J33" s="5" t="n">
        <f aca="false">H33*I33</f>
        <v>24581.44</v>
      </c>
      <c r="K33" s="6" t="n">
        <v>0.2</v>
      </c>
      <c r="L33" s="5" t="n">
        <f aca="false">J33*K33</f>
        <v>4916.288</v>
      </c>
      <c r="M33" s="5" t="n">
        <f aca="false">J33-L33</f>
        <v>19665.152</v>
      </c>
    </row>
    <row r="34" customFormat="false" ht="15.75" hidden="false" customHeight="true" outlineLevel="0" collapsed="false">
      <c r="A34" s="7" t="s">
        <v>85</v>
      </c>
      <c r="B34" s="8" t="s">
        <v>77</v>
      </c>
      <c r="C34" s="8" t="s">
        <v>16</v>
      </c>
      <c r="D34" s="8" t="s">
        <v>31</v>
      </c>
      <c r="E34" s="7" t="s">
        <v>67</v>
      </c>
      <c r="F34" s="7" t="s">
        <v>59</v>
      </c>
      <c r="G34" s="7" t="s">
        <v>86</v>
      </c>
      <c r="H34" s="8" t="n">
        <v>4</v>
      </c>
      <c r="I34" s="9" t="n">
        <v>1472.62</v>
      </c>
      <c r="J34" s="9" t="n">
        <f aca="false">H34*I34</f>
        <v>5890.48</v>
      </c>
      <c r="K34" s="10" t="n">
        <v>0</v>
      </c>
      <c r="L34" s="9" t="n">
        <f aca="false">J34*K34</f>
        <v>0</v>
      </c>
      <c r="M34" s="9" t="n">
        <f aca="false">J34-L34</f>
        <v>5890.48</v>
      </c>
    </row>
    <row r="35" customFormat="false" ht="15.75" hidden="false" customHeight="true" outlineLevel="0" collapsed="false">
      <c r="A35" s="3" t="s">
        <v>87</v>
      </c>
      <c r="B35" s="4" t="s">
        <v>77</v>
      </c>
      <c r="C35" s="4" t="s">
        <v>16</v>
      </c>
      <c r="D35" s="4" t="s">
        <v>22</v>
      </c>
      <c r="E35" s="3" t="s">
        <v>23</v>
      </c>
      <c r="F35" s="3" t="s">
        <v>59</v>
      </c>
      <c r="G35" s="3" t="s">
        <v>86</v>
      </c>
      <c r="H35" s="4" t="n">
        <v>4</v>
      </c>
      <c r="I35" s="5" t="n">
        <v>898.19</v>
      </c>
      <c r="J35" s="5" t="n">
        <f aca="false">H35*I35</f>
        <v>3592.76</v>
      </c>
      <c r="K35" s="6" t="n">
        <v>0.15</v>
      </c>
      <c r="L35" s="5" t="n">
        <f aca="false">J35*K35</f>
        <v>538.914</v>
      </c>
      <c r="M35" s="5" t="n">
        <f aca="false">J35-L35</f>
        <v>3053.846</v>
      </c>
    </row>
    <row r="36" customFormat="false" ht="15.75" hidden="false" customHeight="true" outlineLevel="0" collapsed="false">
      <c r="A36" s="7" t="s">
        <v>88</v>
      </c>
      <c r="B36" s="8" t="s">
        <v>77</v>
      </c>
      <c r="C36" s="8" t="s">
        <v>16</v>
      </c>
      <c r="D36" s="8" t="s">
        <v>31</v>
      </c>
      <c r="E36" s="7" t="s">
        <v>18</v>
      </c>
      <c r="F36" s="7" t="s">
        <v>39</v>
      </c>
      <c r="G36" s="7" t="s">
        <v>40</v>
      </c>
      <c r="H36" s="8" t="n">
        <v>7</v>
      </c>
      <c r="I36" s="9" t="n">
        <v>5080.63</v>
      </c>
      <c r="J36" s="9" t="n">
        <f aca="false">H36*I36</f>
        <v>35564.41</v>
      </c>
      <c r="K36" s="10" t="n">
        <v>0</v>
      </c>
      <c r="L36" s="9" t="n">
        <f aca="false">J36*K36</f>
        <v>0</v>
      </c>
      <c r="M36" s="9" t="n">
        <f aca="false">J36-L36</f>
        <v>35564.41</v>
      </c>
    </row>
    <row r="37" customFormat="false" ht="15.75" hidden="false" customHeight="true" outlineLevel="0" collapsed="false">
      <c r="A37" s="3" t="s">
        <v>89</v>
      </c>
      <c r="B37" s="4" t="s">
        <v>77</v>
      </c>
      <c r="C37" s="4" t="s">
        <v>16</v>
      </c>
      <c r="D37" s="4" t="s">
        <v>17</v>
      </c>
      <c r="E37" s="3" t="s">
        <v>32</v>
      </c>
      <c r="F37" s="3" t="s">
        <v>59</v>
      </c>
      <c r="G37" s="3" t="s">
        <v>60</v>
      </c>
      <c r="H37" s="4" t="n">
        <v>8</v>
      </c>
      <c r="I37" s="5" t="n">
        <v>1679.51</v>
      </c>
      <c r="J37" s="5" t="n">
        <f aca="false">H37*I37</f>
        <v>13436.08</v>
      </c>
      <c r="K37" s="6" t="n">
        <v>0</v>
      </c>
      <c r="L37" s="5" t="n">
        <f aca="false">J37*K37</f>
        <v>0</v>
      </c>
      <c r="M37" s="5" t="n">
        <f aca="false">J37-L37</f>
        <v>13436.08</v>
      </c>
    </row>
    <row r="38" customFormat="false" ht="15.75" hidden="false" customHeight="true" outlineLevel="0" collapsed="false">
      <c r="A38" s="7" t="s">
        <v>90</v>
      </c>
      <c r="B38" s="8" t="s">
        <v>77</v>
      </c>
      <c r="C38" s="8" t="s">
        <v>16</v>
      </c>
      <c r="D38" s="8" t="s">
        <v>27</v>
      </c>
      <c r="E38" s="7" t="s">
        <v>23</v>
      </c>
      <c r="F38" s="7" t="s">
        <v>59</v>
      </c>
      <c r="G38" s="7" t="s">
        <v>65</v>
      </c>
      <c r="H38" s="8" t="n">
        <v>18</v>
      </c>
      <c r="I38" s="9" t="n">
        <v>1642.59</v>
      </c>
      <c r="J38" s="9" t="n">
        <f aca="false">H38*I38</f>
        <v>29566.62</v>
      </c>
      <c r="K38" s="10" t="n">
        <v>0</v>
      </c>
      <c r="L38" s="9" t="n">
        <f aca="false">J38*K38</f>
        <v>0</v>
      </c>
      <c r="M38" s="9" t="n">
        <f aca="false">J38-L38</f>
        <v>29566.62</v>
      </c>
    </row>
    <row r="39" customFormat="false" ht="15.75" hidden="false" customHeight="true" outlineLevel="0" collapsed="false">
      <c r="A39" s="3" t="s">
        <v>91</v>
      </c>
      <c r="B39" s="4" t="s">
        <v>77</v>
      </c>
      <c r="C39" s="4" t="s">
        <v>16</v>
      </c>
      <c r="D39" s="4" t="s">
        <v>22</v>
      </c>
      <c r="E39" s="3" t="s">
        <v>32</v>
      </c>
      <c r="F39" s="3" t="s">
        <v>51</v>
      </c>
      <c r="G39" s="3" t="s">
        <v>92</v>
      </c>
      <c r="H39" s="4" t="n">
        <v>16</v>
      </c>
      <c r="I39" s="5" t="n">
        <v>2177.49</v>
      </c>
      <c r="J39" s="5" t="n">
        <f aca="false">H39*I39</f>
        <v>34839.84</v>
      </c>
      <c r="K39" s="6" t="n">
        <v>0.05</v>
      </c>
      <c r="L39" s="5" t="n">
        <f aca="false">J39*K39</f>
        <v>1741.992</v>
      </c>
      <c r="M39" s="5" t="n">
        <f aca="false">J39-L39</f>
        <v>33097.848</v>
      </c>
    </row>
    <row r="40" customFormat="false" ht="15.75" hidden="false" customHeight="true" outlineLevel="0" collapsed="false">
      <c r="A40" s="7" t="s">
        <v>93</v>
      </c>
      <c r="B40" s="8" t="s">
        <v>77</v>
      </c>
      <c r="C40" s="8" t="s">
        <v>16</v>
      </c>
      <c r="D40" s="8" t="s">
        <v>22</v>
      </c>
      <c r="E40" s="7" t="s">
        <v>23</v>
      </c>
      <c r="F40" s="7" t="s">
        <v>19</v>
      </c>
      <c r="G40" s="7" t="s">
        <v>36</v>
      </c>
      <c r="H40" s="8" t="n">
        <v>13</v>
      </c>
      <c r="I40" s="9" t="n">
        <v>31925.69</v>
      </c>
      <c r="J40" s="9" t="n">
        <f aca="false">H40*I40</f>
        <v>415033.97</v>
      </c>
      <c r="K40" s="10" t="n">
        <v>0.2</v>
      </c>
      <c r="L40" s="9" t="n">
        <f aca="false">J40*K40</f>
        <v>83006.794</v>
      </c>
      <c r="M40" s="9" t="n">
        <f aca="false">J40-L40</f>
        <v>332027.176</v>
      </c>
    </row>
    <row r="41" customFormat="false" ht="15.75" hidden="false" customHeight="true" outlineLevel="0" collapsed="false">
      <c r="A41" s="3" t="s">
        <v>94</v>
      </c>
      <c r="B41" s="4" t="s">
        <v>77</v>
      </c>
      <c r="C41" s="4" t="s">
        <v>16</v>
      </c>
      <c r="D41" s="4" t="s">
        <v>22</v>
      </c>
      <c r="E41" s="3" t="s">
        <v>28</v>
      </c>
      <c r="F41" s="3" t="s">
        <v>59</v>
      </c>
      <c r="G41" s="3" t="s">
        <v>95</v>
      </c>
      <c r="H41" s="4" t="n">
        <v>16</v>
      </c>
      <c r="I41" s="5" t="n">
        <v>988.6</v>
      </c>
      <c r="J41" s="5" t="n">
        <f aca="false">H41*I41</f>
        <v>15817.6</v>
      </c>
      <c r="K41" s="6" t="n">
        <v>0</v>
      </c>
      <c r="L41" s="5" t="n">
        <f aca="false">J41*K41</f>
        <v>0</v>
      </c>
      <c r="M41" s="5" t="n">
        <f aca="false">J41-L41</f>
        <v>15817.6</v>
      </c>
    </row>
    <row r="42" customFormat="false" ht="15.75" hidden="false" customHeight="true" outlineLevel="0" collapsed="false">
      <c r="A42" s="7" t="s">
        <v>96</v>
      </c>
      <c r="B42" s="8" t="s">
        <v>77</v>
      </c>
      <c r="C42" s="8" t="s">
        <v>16</v>
      </c>
      <c r="D42" s="8" t="s">
        <v>27</v>
      </c>
      <c r="E42" s="7" t="s">
        <v>35</v>
      </c>
      <c r="F42" s="7" t="s">
        <v>51</v>
      </c>
      <c r="G42" s="7" t="s">
        <v>83</v>
      </c>
      <c r="H42" s="8" t="n">
        <v>2</v>
      </c>
      <c r="I42" s="9" t="n">
        <v>1850.28</v>
      </c>
      <c r="J42" s="9" t="n">
        <f aca="false">H42*I42</f>
        <v>3700.56</v>
      </c>
      <c r="K42" s="10" t="n">
        <v>0.05</v>
      </c>
      <c r="L42" s="9" t="n">
        <f aca="false">J42*K42</f>
        <v>185.028</v>
      </c>
      <c r="M42" s="9" t="n">
        <f aca="false">J42-L42</f>
        <v>3515.532</v>
      </c>
    </row>
    <row r="43" customFormat="false" ht="15.75" hidden="false" customHeight="true" outlineLevel="0" collapsed="false">
      <c r="A43" s="3" t="s">
        <v>97</v>
      </c>
      <c r="B43" s="4" t="s">
        <v>77</v>
      </c>
      <c r="C43" s="4" t="s">
        <v>16</v>
      </c>
      <c r="D43" s="4" t="s">
        <v>31</v>
      </c>
      <c r="E43" s="3" t="s">
        <v>23</v>
      </c>
      <c r="F43" s="3" t="s">
        <v>24</v>
      </c>
      <c r="G43" s="3" t="s">
        <v>29</v>
      </c>
      <c r="H43" s="4" t="n">
        <v>17</v>
      </c>
      <c r="I43" s="5" t="n">
        <v>611.27</v>
      </c>
      <c r="J43" s="5" t="n">
        <f aca="false">H43*I43</f>
        <v>10391.59</v>
      </c>
      <c r="K43" s="6" t="n">
        <v>0</v>
      </c>
      <c r="L43" s="5" t="n">
        <f aca="false">J43*K43</f>
        <v>0</v>
      </c>
      <c r="M43" s="5" t="n">
        <f aca="false">J43-L43</f>
        <v>10391.59</v>
      </c>
    </row>
    <row r="44" customFormat="false" ht="15.75" hidden="false" customHeight="true" outlineLevel="0" collapsed="false">
      <c r="A44" s="7" t="s">
        <v>98</v>
      </c>
      <c r="B44" s="8" t="s">
        <v>77</v>
      </c>
      <c r="C44" s="8" t="s">
        <v>16</v>
      </c>
      <c r="D44" s="8" t="s">
        <v>27</v>
      </c>
      <c r="E44" s="7" t="s">
        <v>18</v>
      </c>
      <c r="F44" s="7" t="s">
        <v>19</v>
      </c>
      <c r="G44" s="7" t="s">
        <v>45</v>
      </c>
      <c r="H44" s="8" t="n">
        <v>13</v>
      </c>
      <c r="I44" s="9" t="n">
        <v>27856.83</v>
      </c>
      <c r="J44" s="9" t="n">
        <f aca="false">H44*I44</f>
        <v>362138.79</v>
      </c>
      <c r="K44" s="10" t="n">
        <v>0.1</v>
      </c>
      <c r="L44" s="9" t="n">
        <f aca="false">J44*K44</f>
        <v>36213.879</v>
      </c>
      <c r="M44" s="9" t="n">
        <f aca="false">J44-L44</f>
        <v>325924.911</v>
      </c>
    </row>
    <row r="45" customFormat="false" ht="15.75" hidden="false" customHeight="true" outlineLevel="0" collapsed="false">
      <c r="A45" s="3" t="s">
        <v>99</v>
      </c>
      <c r="B45" s="4" t="s">
        <v>77</v>
      </c>
      <c r="C45" s="4" t="s">
        <v>16</v>
      </c>
      <c r="D45" s="4" t="s">
        <v>27</v>
      </c>
      <c r="E45" s="3" t="s">
        <v>44</v>
      </c>
      <c r="F45" s="3" t="s">
        <v>51</v>
      </c>
      <c r="G45" s="3" t="s">
        <v>81</v>
      </c>
      <c r="H45" s="4" t="n">
        <v>3</v>
      </c>
      <c r="I45" s="5" t="n">
        <v>2588.45</v>
      </c>
      <c r="J45" s="5" t="n">
        <f aca="false">H45*I45</f>
        <v>7765.35</v>
      </c>
      <c r="K45" s="6" t="n">
        <v>0.1</v>
      </c>
      <c r="L45" s="5" t="n">
        <f aca="false">J45*K45</f>
        <v>776.535</v>
      </c>
      <c r="M45" s="5" t="n">
        <f aca="false">J45-L45</f>
        <v>6988.815</v>
      </c>
    </row>
    <row r="46" customFormat="false" ht="15.75" hidden="false" customHeight="true" outlineLevel="0" collapsed="false">
      <c r="A46" s="7" t="s">
        <v>100</v>
      </c>
      <c r="B46" s="8" t="s">
        <v>77</v>
      </c>
      <c r="C46" s="8" t="s">
        <v>16</v>
      </c>
      <c r="D46" s="8" t="s">
        <v>17</v>
      </c>
      <c r="E46" s="7" t="s">
        <v>47</v>
      </c>
      <c r="F46" s="7" t="s">
        <v>24</v>
      </c>
      <c r="G46" s="7" t="s">
        <v>29</v>
      </c>
      <c r="H46" s="8" t="n">
        <v>7</v>
      </c>
      <c r="I46" s="9" t="n">
        <v>988.62</v>
      </c>
      <c r="J46" s="9" t="n">
        <f aca="false">H46*I46</f>
        <v>6920.34</v>
      </c>
      <c r="K46" s="10" t="n">
        <v>0</v>
      </c>
      <c r="L46" s="9" t="n">
        <f aca="false">J46*K46</f>
        <v>0</v>
      </c>
      <c r="M46" s="9" t="n">
        <f aca="false">J46-L46</f>
        <v>6920.34</v>
      </c>
    </row>
    <row r="47" customFormat="false" ht="15.75" hidden="false" customHeight="true" outlineLevel="0" collapsed="false">
      <c r="A47" s="3" t="s">
        <v>101</v>
      </c>
      <c r="B47" s="4" t="s">
        <v>102</v>
      </c>
      <c r="C47" s="4" t="s">
        <v>16</v>
      </c>
      <c r="D47" s="4" t="s">
        <v>31</v>
      </c>
      <c r="E47" s="3" t="s">
        <v>47</v>
      </c>
      <c r="F47" s="3" t="s">
        <v>39</v>
      </c>
      <c r="G47" s="3" t="s">
        <v>103</v>
      </c>
      <c r="H47" s="4" t="n">
        <v>15</v>
      </c>
      <c r="I47" s="5" t="n">
        <v>4288.24</v>
      </c>
      <c r="J47" s="5" t="n">
        <f aca="false">H47*I47</f>
        <v>64323.6</v>
      </c>
      <c r="K47" s="6" t="n">
        <v>0.2</v>
      </c>
      <c r="L47" s="5" t="n">
        <f aca="false">J47*K47</f>
        <v>12864.72</v>
      </c>
      <c r="M47" s="5" t="n">
        <f aca="false">J47-L47</f>
        <v>51458.88</v>
      </c>
    </row>
    <row r="48" customFormat="false" ht="15.75" hidden="false" customHeight="true" outlineLevel="0" collapsed="false">
      <c r="A48" s="7" t="s">
        <v>104</v>
      </c>
      <c r="B48" s="8" t="s">
        <v>102</v>
      </c>
      <c r="C48" s="8" t="s">
        <v>16</v>
      </c>
      <c r="D48" s="8" t="s">
        <v>22</v>
      </c>
      <c r="E48" s="7" t="s">
        <v>44</v>
      </c>
      <c r="F48" s="7" t="s">
        <v>19</v>
      </c>
      <c r="G48" s="7" t="s">
        <v>20</v>
      </c>
      <c r="H48" s="8" t="n">
        <v>19</v>
      </c>
      <c r="I48" s="9" t="n">
        <v>52390.7</v>
      </c>
      <c r="J48" s="9" t="n">
        <f aca="false">H48*I48</f>
        <v>995423.3</v>
      </c>
      <c r="K48" s="10" t="n">
        <v>0</v>
      </c>
      <c r="L48" s="9" t="n">
        <f aca="false">J48*K48</f>
        <v>0</v>
      </c>
      <c r="M48" s="9" t="n">
        <f aca="false">J48-L48</f>
        <v>995423.3</v>
      </c>
    </row>
    <row r="49" customFormat="false" ht="15.75" hidden="false" customHeight="true" outlineLevel="0" collapsed="false">
      <c r="A49" s="3" t="s">
        <v>105</v>
      </c>
      <c r="B49" s="4" t="s">
        <v>102</v>
      </c>
      <c r="C49" s="4" t="s">
        <v>16</v>
      </c>
      <c r="D49" s="4" t="s">
        <v>17</v>
      </c>
      <c r="E49" s="3" t="s">
        <v>58</v>
      </c>
      <c r="F49" s="3" t="s">
        <v>24</v>
      </c>
      <c r="G49" s="3" t="s">
        <v>106</v>
      </c>
      <c r="H49" s="4" t="n">
        <v>12</v>
      </c>
      <c r="I49" s="5" t="n">
        <v>1123.75</v>
      </c>
      <c r="J49" s="5" t="n">
        <f aca="false">H49*I49</f>
        <v>13485</v>
      </c>
      <c r="K49" s="6" t="n">
        <v>0</v>
      </c>
      <c r="L49" s="5" t="n">
        <f aca="false">J49*K49</f>
        <v>0</v>
      </c>
      <c r="M49" s="5" t="n">
        <f aca="false">J49-L49</f>
        <v>13485</v>
      </c>
    </row>
    <row r="50" customFormat="false" ht="15.75" hidden="false" customHeight="true" outlineLevel="0" collapsed="false">
      <c r="A50" s="7" t="s">
        <v>107</v>
      </c>
      <c r="B50" s="8" t="s">
        <v>102</v>
      </c>
      <c r="C50" s="8" t="s">
        <v>16</v>
      </c>
      <c r="D50" s="8" t="s">
        <v>31</v>
      </c>
      <c r="E50" s="7" t="s">
        <v>32</v>
      </c>
      <c r="F50" s="7" t="s">
        <v>39</v>
      </c>
      <c r="G50" s="7" t="s">
        <v>108</v>
      </c>
      <c r="H50" s="8" t="n">
        <v>18</v>
      </c>
      <c r="I50" s="9" t="n">
        <v>5682.74</v>
      </c>
      <c r="J50" s="9" t="n">
        <f aca="false">H50*I50</f>
        <v>102289.32</v>
      </c>
      <c r="K50" s="10" t="n">
        <v>0.1</v>
      </c>
      <c r="L50" s="9" t="n">
        <f aca="false">J50*K50</f>
        <v>10228.932</v>
      </c>
      <c r="M50" s="9" t="n">
        <f aca="false">J50-L50</f>
        <v>92060.388</v>
      </c>
    </row>
    <row r="51" customFormat="false" ht="15.75" hidden="false" customHeight="true" outlineLevel="0" collapsed="false">
      <c r="A51" s="3" t="s">
        <v>109</v>
      </c>
      <c r="B51" s="4" t="s">
        <v>102</v>
      </c>
      <c r="C51" s="4" t="s">
        <v>16</v>
      </c>
      <c r="D51" s="4" t="s">
        <v>17</v>
      </c>
      <c r="E51" s="3" t="s">
        <v>67</v>
      </c>
      <c r="F51" s="3" t="s">
        <v>24</v>
      </c>
      <c r="G51" s="3" t="s">
        <v>25</v>
      </c>
      <c r="H51" s="4" t="n">
        <v>5</v>
      </c>
      <c r="I51" s="5" t="n">
        <v>729.26</v>
      </c>
      <c r="J51" s="5" t="n">
        <f aca="false">H51*I51</f>
        <v>3646.3</v>
      </c>
      <c r="K51" s="6" t="n">
        <v>0</v>
      </c>
      <c r="L51" s="5" t="n">
        <f aca="false">J51*K51</f>
        <v>0</v>
      </c>
      <c r="M51" s="5" t="n">
        <f aca="false">J51-L51</f>
        <v>3646.3</v>
      </c>
    </row>
    <row r="52" customFormat="false" ht="15.75" hidden="false" customHeight="true" outlineLevel="0" collapsed="false">
      <c r="A52" s="7" t="s">
        <v>110</v>
      </c>
      <c r="B52" s="8" t="s">
        <v>102</v>
      </c>
      <c r="C52" s="8" t="s">
        <v>16</v>
      </c>
      <c r="D52" s="8" t="s">
        <v>17</v>
      </c>
      <c r="E52" s="7" t="s">
        <v>47</v>
      </c>
      <c r="F52" s="7" t="s">
        <v>24</v>
      </c>
      <c r="G52" s="7" t="s">
        <v>106</v>
      </c>
      <c r="H52" s="8" t="n">
        <v>20</v>
      </c>
      <c r="I52" s="9" t="n">
        <v>694.8</v>
      </c>
      <c r="J52" s="9" t="n">
        <f aca="false">H52*I52</f>
        <v>13896</v>
      </c>
      <c r="K52" s="10" t="n">
        <v>0</v>
      </c>
      <c r="L52" s="9" t="n">
        <f aca="false">J52*K52</f>
        <v>0</v>
      </c>
      <c r="M52" s="9" t="n">
        <f aca="false">J52-L52</f>
        <v>13896</v>
      </c>
    </row>
    <row r="53" customFormat="false" ht="15.75" hidden="false" customHeight="true" outlineLevel="0" collapsed="false">
      <c r="A53" s="3" t="s">
        <v>111</v>
      </c>
      <c r="B53" s="4" t="s">
        <v>102</v>
      </c>
      <c r="C53" s="4" t="s">
        <v>16</v>
      </c>
      <c r="D53" s="4" t="s">
        <v>22</v>
      </c>
      <c r="E53" s="3" t="s">
        <v>47</v>
      </c>
      <c r="F53" s="3" t="s">
        <v>51</v>
      </c>
      <c r="G53" s="3" t="s">
        <v>52</v>
      </c>
      <c r="H53" s="4" t="n">
        <v>2</v>
      </c>
      <c r="I53" s="5" t="n">
        <v>1934.6</v>
      </c>
      <c r="J53" s="5" t="n">
        <f aca="false">H53*I53</f>
        <v>3869.2</v>
      </c>
      <c r="K53" s="6" t="n">
        <v>0.05</v>
      </c>
      <c r="L53" s="5" t="n">
        <f aca="false">J53*K53</f>
        <v>193.46</v>
      </c>
      <c r="M53" s="5" t="n">
        <f aca="false">J53-L53</f>
        <v>3675.74</v>
      </c>
    </row>
    <row r="54" customFormat="false" ht="15.75" hidden="false" customHeight="true" outlineLevel="0" collapsed="false">
      <c r="A54" s="7" t="s">
        <v>112</v>
      </c>
      <c r="B54" s="8" t="s">
        <v>102</v>
      </c>
      <c r="C54" s="8" t="s">
        <v>16</v>
      </c>
      <c r="D54" s="8" t="s">
        <v>27</v>
      </c>
      <c r="E54" s="7" t="s">
        <v>35</v>
      </c>
      <c r="F54" s="7" t="s">
        <v>39</v>
      </c>
      <c r="G54" s="7" t="s">
        <v>40</v>
      </c>
      <c r="H54" s="8" t="n">
        <v>5</v>
      </c>
      <c r="I54" s="9" t="n">
        <v>5443.61</v>
      </c>
      <c r="J54" s="9" t="n">
        <f aca="false">H54*I54</f>
        <v>27218.05</v>
      </c>
      <c r="K54" s="10" t="n">
        <v>0</v>
      </c>
      <c r="L54" s="9" t="n">
        <f aca="false">J54*K54</f>
        <v>0</v>
      </c>
      <c r="M54" s="9" t="n">
        <f aca="false">J54-L54</f>
        <v>27218.05</v>
      </c>
    </row>
    <row r="55" customFormat="false" ht="15.75" hidden="false" customHeight="true" outlineLevel="0" collapsed="false">
      <c r="A55" s="3" t="s">
        <v>113</v>
      </c>
      <c r="B55" s="4" t="s">
        <v>102</v>
      </c>
      <c r="C55" s="4" t="s">
        <v>16</v>
      </c>
      <c r="D55" s="4" t="s">
        <v>22</v>
      </c>
      <c r="E55" s="3" t="s">
        <v>28</v>
      </c>
      <c r="F55" s="3" t="s">
        <v>51</v>
      </c>
      <c r="G55" s="3" t="s">
        <v>54</v>
      </c>
      <c r="H55" s="4" t="n">
        <v>1</v>
      </c>
      <c r="I55" s="5" t="n">
        <v>1973.75</v>
      </c>
      <c r="J55" s="5" t="n">
        <f aca="false">H55*I55</f>
        <v>1973.75</v>
      </c>
      <c r="K55" s="6" t="n">
        <v>0.15</v>
      </c>
      <c r="L55" s="5" t="n">
        <f aca="false">J55*K55</f>
        <v>296.0625</v>
      </c>
      <c r="M55" s="5" t="n">
        <f aca="false">J55-L55</f>
        <v>1677.6875</v>
      </c>
    </row>
    <row r="56" customFormat="false" ht="15.75" hidden="false" customHeight="true" outlineLevel="0" collapsed="false">
      <c r="A56" s="7" t="s">
        <v>114</v>
      </c>
      <c r="B56" s="8" t="s">
        <v>102</v>
      </c>
      <c r="C56" s="8" t="s">
        <v>16</v>
      </c>
      <c r="D56" s="8" t="s">
        <v>27</v>
      </c>
      <c r="E56" s="7" t="s">
        <v>35</v>
      </c>
      <c r="F56" s="7" t="s">
        <v>51</v>
      </c>
      <c r="G56" s="7" t="s">
        <v>81</v>
      </c>
      <c r="H56" s="8" t="n">
        <v>19</v>
      </c>
      <c r="I56" s="9" t="n">
        <v>2855.05</v>
      </c>
      <c r="J56" s="9" t="n">
        <f aca="false">H56*I56</f>
        <v>54245.95</v>
      </c>
      <c r="K56" s="10" t="n">
        <v>0.05</v>
      </c>
      <c r="L56" s="9" t="n">
        <f aca="false">J56*K56</f>
        <v>2712.2975</v>
      </c>
      <c r="M56" s="9" t="n">
        <f aca="false">J56-L56</f>
        <v>51533.6525</v>
      </c>
    </row>
    <row r="57" customFormat="false" ht="15.75" hidden="false" customHeight="true" outlineLevel="0" collapsed="false">
      <c r="A57" s="3" t="s">
        <v>115</v>
      </c>
      <c r="B57" s="4" t="s">
        <v>102</v>
      </c>
      <c r="C57" s="4" t="s">
        <v>16</v>
      </c>
      <c r="D57" s="4" t="s">
        <v>17</v>
      </c>
      <c r="E57" s="3" t="s">
        <v>35</v>
      </c>
      <c r="F57" s="3" t="s">
        <v>51</v>
      </c>
      <c r="G57" s="3" t="s">
        <v>83</v>
      </c>
      <c r="H57" s="4" t="n">
        <v>2</v>
      </c>
      <c r="I57" s="5" t="n">
        <v>3547.85</v>
      </c>
      <c r="J57" s="5" t="n">
        <f aca="false">H57*I57</f>
        <v>7095.7</v>
      </c>
      <c r="K57" s="6" t="n">
        <v>0</v>
      </c>
      <c r="L57" s="5" t="n">
        <f aca="false">J57*K57</f>
        <v>0</v>
      </c>
      <c r="M57" s="5" t="n">
        <f aca="false">J57-L57</f>
        <v>7095.7</v>
      </c>
    </row>
    <row r="58" customFormat="false" ht="15.75" hidden="false" customHeight="true" outlineLevel="0" collapsed="false">
      <c r="A58" s="7" t="s">
        <v>116</v>
      </c>
      <c r="B58" s="8" t="s">
        <v>102</v>
      </c>
      <c r="C58" s="8" t="s">
        <v>16</v>
      </c>
      <c r="D58" s="8" t="s">
        <v>17</v>
      </c>
      <c r="E58" s="7" t="s">
        <v>28</v>
      </c>
      <c r="F58" s="7" t="s">
        <v>51</v>
      </c>
      <c r="G58" s="7" t="s">
        <v>83</v>
      </c>
      <c r="H58" s="8" t="n">
        <v>14</v>
      </c>
      <c r="I58" s="9" t="n">
        <v>3697.67</v>
      </c>
      <c r="J58" s="9" t="n">
        <f aca="false">H58*I58</f>
        <v>51767.38</v>
      </c>
      <c r="K58" s="10" t="n">
        <v>0.15</v>
      </c>
      <c r="L58" s="9" t="n">
        <f aca="false">J58*K58</f>
        <v>7765.107</v>
      </c>
      <c r="M58" s="9" t="n">
        <f aca="false">J58-L58</f>
        <v>44002.273</v>
      </c>
    </row>
    <row r="59" customFormat="false" ht="15.75" hidden="false" customHeight="true" outlineLevel="0" collapsed="false">
      <c r="A59" s="3" t="s">
        <v>117</v>
      </c>
      <c r="B59" s="4" t="s">
        <v>102</v>
      </c>
      <c r="C59" s="4" t="s">
        <v>16</v>
      </c>
      <c r="D59" s="4" t="s">
        <v>31</v>
      </c>
      <c r="E59" s="3" t="s">
        <v>58</v>
      </c>
      <c r="F59" s="3" t="s">
        <v>51</v>
      </c>
      <c r="G59" s="3" t="s">
        <v>92</v>
      </c>
      <c r="H59" s="4" t="n">
        <v>14</v>
      </c>
      <c r="I59" s="5" t="n">
        <v>1799.57</v>
      </c>
      <c r="J59" s="5" t="n">
        <f aca="false">H59*I59</f>
        <v>25193.98</v>
      </c>
      <c r="K59" s="6" t="n">
        <v>0.15</v>
      </c>
      <c r="L59" s="5" t="n">
        <f aca="false">J59*K59</f>
        <v>3779.097</v>
      </c>
      <c r="M59" s="5" t="n">
        <f aca="false">J59-L59</f>
        <v>21414.883</v>
      </c>
    </row>
    <row r="60" customFormat="false" ht="15.75" hidden="false" customHeight="true" outlineLevel="0" collapsed="false">
      <c r="A60" s="7" t="s">
        <v>118</v>
      </c>
      <c r="B60" s="8" t="s">
        <v>102</v>
      </c>
      <c r="C60" s="8" t="s">
        <v>16</v>
      </c>
      <c r="D60" s="8" t="s">
        <v>31</v>
      </c>
      <c r="E60" s="7" t="s">
        <v>47</v>
      </c>
      <c r="F60" s="7" t="s">
        <v>39</v>
      </c>
      <c r="G60" s="7" t="s">
        <v>103</v>
      </c>
      <c r="H60" s="8" t="n">
        <v>6</v>
      </c>
      <c r="I60" s="9" t="n">
        <v>5984.55</v>
      </c>
      <c r="J60" s="9" t="n">
        <f aca="false">H60*I60</f>
        <v>35907.3</v>
      </c>
      <c r="K60" s="10" t="n">
        <v>0</v>
      </c>
      <c r="L60" s="9" t="n">
        <f aca="false">J60*K60</f>
        <v>0</v>
      </c>
      <c r="M60" s="9" t="n">
        <f aca="false">J60-L60</f>
        <v>35907.3</v>
      </c>
    </row>
    <row r="61" customFormat="false" ht="15.75" hidden="false" customHeight="true" outlineLevel="0" collapsed="false">
      <c r="A61" s="3" t="s">
        <v>119</v>
      </c>
      <c r="B61" s="4" t="s">
        <v>102</v>
      </c>
      <c r="C61" s="4" t="s">
        <v>16</v>
      </c>
      <c r="D61" s="4" t="s">
        <v>22</v>
      </c>
      <c r="E61" s="3" t="s">
        <v>18</v>
      </c>
      <c r="F61" s="3" t="s">
        <v>59</v>
      </c>
      <c r="G61" s="3" t="s">
        <v>75</v>
      </c>
      <c r="H61" s="4" t="n">
        <v>7</v>
      </c>
      <c r="I61" s="5" t="n">
        <v>1623.92</v>
      </c>
      <c r="J61" s="5" t="n">
        <f aca="false">H61*I61</f>
        <v>11367.44</v>
      </c>
      <c r="K61" s="6" t="n">
        <v>0.05</v>
      </c>
      <c r="L61" s="5" t="n">
        <f aca="false">J61*K61</f>
        <v>568.372</v>
      </c>
      <c r="M61" s="5" t="n">
        <f aca="false">J61-L61</f>
        <v>10799.068</v>
      </c>
    </row>
    <row r="62" customFormat="false" ht="15.75" hidden="false" customHeight="true" outlineLevel="0" collapsed="false">
      <c r="A62" s="7" t="s">
        <v>120</v>
      </c>
      <c r="B62" s="8" t="s">
        <v>102</v>
      </c>
      <c r="C62" s="8" t="s">
        <v>16</v>
      </c>
      <c r="D62" s="8" t="s">
        <v>31</v>
      </c>
      <c r="E62" s="7" t="s">
        <v>18</v>
      </c>
      <c r="F62" s="7" t="s">
        <v>39</v>
      </c>
      <c r="G62" s="7" t="s">
        <v>108</v>
      </c>
      <c r="H62" s="8" t="n">
        <v>1</v>
      </c>
      <c r="I62" s="9" t="n">
        <v>5526.12</v>
      </c>
      <c r="J62" s="9" t="n">
        <f aca="false">H62*I62</f>
        <v>5526.12</v>
      </c>
      <c r="K62" s="10" t="n">
        <v>0.05</v>
      </c>
      <c r="L62" s="9" t="n">
        <f aca="false">J62*K62</f>
        <v>276.306</v>
      </c>
      <c r="M62" s="9" t="n">
        <f aca="false">J62-L62</f>
        <v>5249.814</v>
      </c>
    </row>
    <row r="63" customFormat="false" ht="15.75" hidden="false" customHeight="true" outlineLevel="0" collapsed="false">
      <c r="A63" s="3" t="s">
        <v>121</v>
      </c>
      <c r="B63" s="4" t="s">
        <v>102</v>
      </c>
      <c r="C63" s="4" t="s">
        <v>16</v>
      </c>
      <c r="D63" s="4" t="s">
        <v>27</v>
      </c>
      <c r="E63" s="3" t="s">
        <v>47</v>
      </c>
      <c r="F63" s="3" t="s">
        <v>39</v>
      </c>
      <c r="G63" s="3" t="s">
        <v>108</v>
      </c>
      <c r="H63" s="4" t="n">
        <v>12</v>
      </c>
      <c r="I63" s="5" t="n">
        <v>5459.33</v>
      </c>
      <c r="J63" s="5" t="n">
        <f aca="false">H63*I63</f>
        <v>65511.96</v>
      </c>
      <c r="K63" s="6" t="n">
        <v>0.05</v>
      </c>
      <c r="L63" s="5" t="n">
        <f aca="false">J63*K63</f>
        <v>3275.598</v>
      </c>
      <c r="M63" s="5" t="n">
        <f aca="false">J63-L63</f>
        <v>62236.362</v>
      </c>
    </row>
    <row r="64" customFormat="false" ht="15.75" hidden="false" customHeight="true" outlineLevel="0" collapsed="false">
      <c r="A64" s="7" t="s">
        <v>122</v>
      </c>
      <c r="B64" s="8" t="s">
        <v>102</v>
      </c>
      <c r="C64" s="8" t="s">
        <v>16</v>
      </c>
      <c r="D64" s="8" t="s">
        <v>27</v>
      </c>
      <c r="E64" s="7" t="s">
        <v>67</v>
      </c>
      <c r="F64" s="7" t="s">
        <v>24</v>
      </c>
      <c r="G64" s="7" t="s">
        <v>42</v>
      </c>
      <c r="H64" s="8" t="n">
        <v>9</v>
      </c>
      <c r="I64" s="9" t="n">
        <v>674.28</v>
      </c>
      <c r="J64" s="9" t="n">
        <f aca="false">H64*I64</f>
        <v>6068.52</v>
      </c>
      <c r="K64" s="10" t="n">
        <v>0</v>
      </c>
      <c r="L64" s="9" t="n">
        <f aca="false">J64*K64</f>
        <v>0</v>
      </c>
      <c r="M64" s="9" t="n">
        <f aca="false">J64-L64</f>
        <v>6068.52</v>
      </c>
    </row>
    <row r="65" customFormat="false" ht="15.75" hidden="false" customHeight="true" outlineLevel="0" collapsed="false">
      <c r="A65" s="3" t="s">
        <v>123</v>
      </c>
      <c r="B65" s="4" t="s">
        <v>124</v>
      </c>
      <c r="C65" s="4" t="s">
        <v>125</v>
      </c>
      <c r="D65" s="4" t="s">
        <v>22</v>
      </c>
      <c r="E65" s="3" t="s">
        <v>35</v>
      </c>
      <c r="F65" s="3" t="s">
        <v>19</v>
      </c>
      <c r="G65" s="3" t="s">
        <v>45</v>
      </c>
      <c r="H65" s="4" t="n">
        <v>11</v>
      </c>
      <c r="I65" s="5" t="n">
        <v>36719.03</v>
      </c>
      <c r="J65" s="5" t="n">
        <f aca="false">H65*I65</f>
        <v>403909.33</v>
      </c>
      <c r="K65" s="6" t="n">
        <v>0.1</v>
      </c>
      <c r="L65" s="5" t="n">
        <f aca="false">J65*K65</f>
        <v>40390.933</v>
      </c>
      <c r="M65" s="5" t="n">
        <f aca="false">J65-L65</f>
        <v>363518.397</v>
      </c>
    </row>
    <row r="66" customFormat="false" ht="15.75" hidden="false" customHeight="true" outlineLevel="0" collapsed="false">
      <c r="A66" s="7" t="s">
        <v>126</v>
      </c>
      <c r="B66" s="8" t="s">
        <v>124</v>
      </c>
      <c r="C66" s="8" t="s">
        <v>125</v>
      </c>
      <c r="D66" s="8" t="s">
        <v>31</v>
      </c>
      <c r="E66" s="7" t="s">
        <v>47</v>
      </c>
      <c r="F66" s="7" t="s">
        <v>19</v>
      </c>
      <c r="G66" s="7" t="s">
        <v>49</v>
      </c>
      <c r="H66" s="8" t="n">
        <v>2</v>
      </c>
      <c r="I66" s="9" t="n">
        <v>44345.99</v>
      </c>
      <c r="J66" s="9" t="n">
        <f aca="false">H66*I66</f>
        <v>88691.98</v>
      </c>
      <c r="K66" s="10" t="n">
        <v>0</v>
      </c>
      <c r="L66" s="9" t="n">
        <f aca="false">J66*K66</f>
        <v>0</v>
      </c>
      <c r="M66" s="9" t="n">
        <f aca="false">J66-L66</f>
        <v>88691.98</v>
      </c>
    </row>
    <row r="67" customFormat="false" ht="15.75" hidden="false" customHeight="true" outlineLevel="0" collapsed="false">
      <c r="A67" s="3" t="s">
        <v>127</v>
      </c>
      <c r="B67" s="4" t="s">
        <v>124</v>
      </c>
      <c r="C67" s="4" t="s">
        <v>125</v>
      </c>
      <c r="D67" s="4" t="s">
        <v>31</v>
      </c>
      <c r="E67" s="3" t="s">
        <v>35</v>
      </c>
      <c r="F67" s="3" t="s">
        <v>24</v>
      </c>
      <c r="G67" s="3" t="s">
        <v>29</v>
      </c>
      <c r="H67" s="4" t="n">
        <v>14</v>
      </c>
      <c r="I67" s="5" t="n">
        <v>604.78</v>
      </c>
      <c r="J67" s="5" t="n">
        <f aca="false">H67*I67</f>
        <v>8466.92</v>
      </c>
      <c r="K67" s="6" t="n">
        <v>0.15</v>
      </c>
      <c r="L67" s="5" t="n">
        <f aca="false">J67*K67</f>
        <v>1270.038</v>
      </c>
      <c r="M67" s="5" t="n">
        <f aca="false">J67-L67</f>
        <v>7196.882</v>
      </c>
    </row>
    <row r="68" customFormat="false" ht="15.75" hidden="false" customHeight="true" outlineLevel="0" collapsed="false">
      <c r="A68" s="7" t="s">
        <v>128</v>
      </c>
      <c r="B68" s="8" t="s">
        <v>124</v>
      </c>
      <c r="C68" s="8" t="s">
        <v>125</v>
      </c>
      <c r="D68" s="8" t="s">
        <v>17</v>
      </c>
      <c r="E68" s="7" t="s">
        <v>67</v>
      </c>
      <c r="F68" s="7" t="s">
        <v>39</v>
      </c>
      <c r="G68" s="7" t="s">
        <v>62</v>
      </c>
      <c r="H68" s="8" t="n">
        <v>10</v>
      </c>
      <c r="I68" s="9" t="n">
        <v>4975.64</v>
      </c>
      <c r="J68" s="9" t="n">
        <f aca="false">H68*I68</f>
        <v>49756.4</v>
      </c>
      <c r="K68" s="10" t="n">
        <v>0.15</v>
      </c>
      <c r="L68" s="9" t="n">
        <f aca="false">J68*K68</f>
        <v>7463.46</v>
      </c>
      <c r="M68" s="9" t="n">
        <f aca="false">J68-L68</f>
        <v>42292.94</v>
      </c>
    </row>
    <row r="69" customFormat="false" ht="15.75" hidden="false" customHeight="true" outlineLevel="0" collapsed="false">
      <c r="A69" s="3" t="s">
        <v>129</v>
      </c>
      <c r="B69" s="4" t="s">
        <v>124</v>
      </c>
      <c r="C69" s="4" t="s">
        <v>125</v>
      </c>
      <c r="D69" s="4" t="s">
        <v>22</v>
      </c>
      <c r="E69" s="3" t="s">
        <v>47</v>
      </c>
      <c r="F69" s="3" t="s">
        <v>59</v>
      </c>
      <c r="G69" s="3" t="s">
        <v>95</v>
      </c>
      <c r="H69" s="4" t="n">
        <v>18</v>
      </c>
      <c r="I69" s="5" t="n">
        <v>962.2</v>
      </c>
      <c r="J69" s="5" t="n">
        <f aca="false">H69*I69</f>
        <v>17319.6</v>
      </c>
      <c r="K69" s="6" t="n">
        <v>0.05</v>
      </c>
      <c r="L69" s="5" t="n">
        <f aca="false">J69*K69</f>
        <v>865.98</v>
      </c>
      <c r="M69" s="5" t="n">
        <f aca="false">J69-L69</f>
        <v>16453.62</v>
      </c>
    </row>
    <row r="70" customFormat="false" ht="15.75" hidden="false" customHeight="true" outlineLevel="0" collapsed="false">
      <c r="A70" s="7" t="s">
        <v>130</v>
      </c>
      <c r="B70" s="8" t="s">
        <v>124</v>
      </c>
      <c r="C70" s="8" t="s">
        <v>125</v>
      </c>
      <c r="D70" s="8" t="s">
        <v>17</v>
      </c>
      <c r="E70" s="7" t="s">
        <v>38</v>
      </c>
      <c r="F70" s="7" t="s">
        <v>59</v>
      </c>
      <c r="G70" s="7" t="s">
        <v>60</v>
      </c>
      <c r="H70" s="8" t="n">
        <v>18</v>
      </c>
      <c r="I70" s="9" t="n">
        <v>1640.38</v>
      </c>
      <c r="J70" s="9" t="n">
        <f aca="false">H70*I70</f>
        <v>29526.84</v>
      </c>
      <c r="K70" s="10" t="n">
        <v>0</v>
      </c>
      <c r="L70" s="9" t="n">
        <f aca="false">J70*K70</f>
        <v>0</v>
      </c>
      <c r="M70" s="9" t="n">
        <f aca="false">J70-L70</f>
        <v>29526.84</v>
      </c>
    </row>
    <row r="71" customFormat="false" ht="15.75" hidden="false" customHeight="true" outlineLevel="0" collapsed="false">
      <c r="A71" s="3" t="s">
        <v>131</v>
      </c>
      <c r="B71" s="4" t="s">
        <v>124</v>
      </c>
      <c r="C71" s="4" t="s">
        <v>125</v>
      </c>
      <c r="D71" s="4" t="s">
        <v>22</v>
      </c>
      <c r="E71" s="3" t="s">
        <v>44</v>
      </c>
      <c r="F71" s="3" t="s">
        <v>39</v>
      </c>
      <c r="G71" s="3" t="s">
        <v>73</v>
      </c>
      <c r="H71" s="4" t="n">
        <v>20</v>
      </c>
      <c r="I71" s="5" t="n">
        <v>5506.94</v>
      </c>
      <c r="J71" s="5" t="n">
        <f aca="false">H71*I71</f>
        <v>110138.8</v>
      </c>
      <c r="K71" s="6" t="n">
        <v>0.05</v>
      </c>
      <c r="L71" s="5" t="n">
        <f aca="false">J71*K71</f>
        <v>5506.94</v>
      </c>
      <c r="M71" s="5" t="n">
        <f aca="false">J71-L71</f>
        <v>104631.86</v>
      </c>
    </row>
    <row r="72" customFormat="false" ht="15.75" hidden="false" customHeight="true" outlineLevel="0" collapsed="false">
      <c r="A72" s="7" t="s">
        <v>132</v>
      </c>
      <c r="B72" s="8" t="s">
        <v>124</v>
      </c>
      <c r="C72" s="8" t="s">
        <v>125</v>
      </c>
      <c r="D72" s="8" t="s">
        <v>31</v>
      </c>
      <c r="E72" s="7" t="s">
        <v>28</v>
      </c>
      <c r="F72" s="7" t="s">
        <v>59</v>
      </c>
      <c r="G72" s="7" t="s">
        <v>86</v>
      </c>
      <c r="H72" s="8" t="n">
        <v>16</v>
      </c>
      <c r="I72" s="9" t="n">
        <v>1601.99</v>
      </c>
      <c r="J72" s="9" t="n">
        <f aca="false">H72*I72</f>
        <v>25631.84</v>
      </c>
      <c r="K72" s="10" t="n">
        <v>0.2</v>
      </c>
      <c r="L72" s="9" t="n">
        <f aca="false">J72*K72</f>
        <v>5126.368</v>
      </c>
      <c r="M72" s="9" t="n">
        <f aca="false">J72-L72</f>
        <v>20505.472</v>
      </c>
    </row>
    <row r="73" customFormat="false" ht="15.75" hidden="false" customHeight="true" outlineLevel="0" collapsed="false">
      <c r="A73" s="3" t="s">
        <v>133</v>
      </c>
      <c r="B73" s="4" t="s">
        <v>124</v>
      </c>
      <c r="C73" s="4" t="s">
        <v>125</v>
      </c>
      <c r="D73" s="4" t="s">
        <v>17</v>
      </c>
      <c r="E73" s="3" t="s">
        <v>28</v>
      </c>
      <c r="F73" s="3" t="s">
        <v>51</v>
      </c>
      <c r="G73" s="3" t="s">
        <v>83</v>
      </c>
      <c r="H73" s="4" t="n">
        <v>20</v>
      </c>
      <c r="I73" s="5" t="n">
        <v>2420.38</v>
      </c>
      <c r="J73" s="5" t="n">
        <f aca="false">H73*I73</f>
        <v>48407.6</v>
      </c>
      <c r="K73" s="6" t="n">
        <v>0.2</v>
      </c>
      <c r="L73" s="5" t="n">
        <f aca="false">J73*K73</f>
        <v>9681.52</v>
      </c>
      <c r="M73" s="5" t="n">
        <f aca="false">J73-L73</f>
        <v>38726.08</v>
      </c>
    </row>
    <row r="74" customFormat="false" ht="15.75" hidden="false" customHeight="true" outlineLevel="0" collapsed="false">
      <c r="A74" s="7" t="s">
        <v>134</v>
      </c>
      <c r="B74" s="8" t="s">
        <v>124</v>
      </c>
      <c r="C74" s="8" t="s">
        <v>125</v>
      </c>
      <c r="D74" s="8" t="s">
        <v>31</v>
      </c>
      <c r="E74" s="7" t="s">
        <v>18</v>
      </c>
      <c r="F74" s="7" t="s">
        <v>51</v>
      </c>
      <c r="G74" s="7" t="s">
        <v>52</v>
      </c>
      <c r="H74" s="8" t="n">
        <v>5</v>
      </c>
      <c r="I74" s="9" t="n">
        <v>1798.85</v>
      </c>
      <c r="J74" s="9" t="n">
        <f aca="false">H74*I74</f>
        <v>8994.25</v>
      </c>
      <c r="K74" s="10" t="n">
        <v>0</v>
      </c>
      <c r="L74" s="9" t="n">
        <f aca="false">J74*K74</f>
        <v>0</v>
      </c>
      <c r="M74" s="9" t="n">
        <f aca="false">J74-L74</f>
        <v>8994.25</v>
      </c>
    </row>
    <row r="75" customFormat="false" ht="15.75" hidden="false" customHeight="true" outlineLevel="0" collapsed="false">
      <c r="A75" s="3" t="s">
        <v>135</v>
      </c>
      <c r="B75" s="4" t="s">
        <v>124</v>
      </c>
      <c r="C75" s="4" t="s">
        <v>125</v>
      </c>
      <c r="D75" s="4" t="s">
        <v>27</v>
      </c>
      <c r="E75" s="3" t="s">
        <v>32</v>
      </c>
      <c r="F75" s="3" t="s">
        <v>59</v>
      </c>
      <c r="G75" s="3" t="s">
        <v>65</v>
      </c>
      <c r="H75" s="4" t="n">
        <v>14</v>
      </c>
      <c r="I75" s="5" t="n">
        <v>1690.69</v>
      </c>
      <c r="J75" s="5" t="n">
        <f aca="false">H75*I75</f>
        <v>23669.66</v>
      </c>
      <c r="K75" s="6" t="n">
        <v>0.1</v>
      </c>
      <c r="L75" s="5" t="n">
        <f aca="false">J75*K75</f>
        <v>2366.966</v>
      </c>
      <c r="M75" s="5" t="n">
        <f aca="false">J75-L75</f>
        <v>21302.694</v>
      </c>
    </row>
    <row r="76" customFormat="false" ht="15.75" hidden="false" customHeight="true" outlineLevel="0" collapsed="false">
      <c r="A76" s="7" t="s">
        <v>136</v>
      </c>
      <c r="B76" s="8" t="s">
        <v>124</v>
      </c>
      <c r="C76" s="8" t="s">
        <v>125</v>
      </c>
      <c r="D76" s="8" t="s">
        <v>22</v>
      </c>
      <c r="E76" s="7" t="s">
        <v>38</v>
      </c>
      <c r="F76" s="7" t="s">
        <v>51</v>
      </c>
      <c r="G76" s="7" t="s">
        <v>54</v>
      </c>
      <c r="H76" s="8" t="n">
        <v>8</v>
      </c>
      <c r="I76" s="9" t="n">
        <v>2045.14</v>
      </c>
      <c r="J76" s="9" t="n">
        <f aca="false">H76*I76</f>
        <v>16361.12</v>
      </c>
      <c r="K76" s="10" t="n">
        <v>0.15</v>
      </c>
      <c r="L76" s="9" t="n">
        <f aca="false">J76*K76</f>
        <v>2454.168</v>
      </c>
      <c r="M76" s="9" t="n">
        <f aca="false">J76-L76</f>
        <v>13906.952</v>
      </c>
    </row>
    <row r="77" customFormat="false" ht="15.75" hidden="false" customHeight="true" outlineLevel="0" collapsed="false">
      <c r="A77" s="3" t="s">
        <v>137</v>
      </c>
      <c r="B77" s="4" t="s">
        <v>124</v>
      </c>
      <c r="C77" s="4" t="s">
        <v>125</v>
      </c>
      <c r="D77" s="4" t="s">
        <v>22</v>
      </c>
      <c r="E77" s="3" t="s">
        <v>18</v>
      </c>
      <c r="F77" s="3" t="s">
        <v>19</v>
      </c>
      <c r="G77" s="3" t="s">
        <v>20</v>
      </c>
      <c r="H77" s="4" t="n">
        <v>6</v>
      </c>
      <c r="I77" s="5" t="n">
        <v>47015.08</v>
      </c>
      <c r="J77" s="5" t="n">
        <f aca="false">H77*I77</f>
        <v>282090.48</v>
      </c>
      <c r="K77" s="6" t="n">
        <v>0.15</v>
      </c>
      <c r="L77" s="5" t="n">
        <f aca="false">J77*K77</f>
        <v>42313.572</v>
      </c>
      <c r="M77" s="5" t="n">
        <f aca="false">J77-L77</f>
        <v>239776.908</v>
      </c>
    </row>
    <row r="78" customFormat="false" ht="15.75" hidden="false" customHeight="true" outlineLevel="0" collapsed="false">
      <c r="A78" s="7" t="s">
        <v>138</v>
      </c>
      <c r="B78" s="8" t="s">
        <v>124</v>
      </c>
      <c r="C78" s="8" t="s">
        <v>125</v>
      </c>
      <c r="D78" s="8" t="s">
        <v>27</v>
      </c>
      <c r="E78" s="7" t="s">
        <v>28</v>
      </c>
      <c r="F78" s="7" t="s">
        <v>24</v>
      </c>
      <c r="G78" s="7" t="s">
        <v>33</v>
      </c>
      <c r="H78" s="8" t="n">
        <v>8</v>
      </c>
      <c r="I78" s="9" t="n">
        <v>1147.18</v>
      </c>
      <c r="J78" s="9" t="n">
        <f aca="false">H78*I78</f>
        <v>9177.44</v>
      </c>
      <c r="K78" s="10" t="n">
        <v>0</v>
      </c>
      <c r="L78" s="9" t="n">
        <f aca="false">J78*K78</f>
        <v>0</v>
      </c>
      <c r="M78" s="9" t="n">
        <f aca="false">J78-L78</f>
        <v>9177.44</v>
      </c>
    </row>
    <row r="79" customFormat="false" ht="15.75" hidden="false" customHeight="true" outlineLevel="0" collapsed="false">
      <c r="A79" s="3" t="s">
        <v>139</v>
      </c>
      <c r="B79" s="4" t="s">
        <v>124</v>
      </c>
      <c r="C79" s="4" t="s">
        <v>125</v>
      </c>
      <c r="D79" s="4" t="s">
        <v>22</v>
      </c>
      <c r="E79" s="3" t="s">
        <v>28</v>
      </c>
      <c r="F79" s="3" t="s">
        <v>59</v>
      </c>
      <c r="G79" s="3" t="s">
        <v>60</v>
      </c>
      <c r="H79" s="4" t="n">
        <v>18</v>
      </c>
      <c r="I79" s="5" t="n">
        <v>1411.63</v>
      </c>
      <c r="J79" s="5" t="n">
        <f aca="false">H79*I79</f>
        <v>25409.34</v>
      </c>
      <c r="K79" s="6" t="n">
        <v>0.2</v>
      </c>
      <c r="L79" s="5" t="n">
        <f aca="false">J79*K79</f>
        <v>5081.868</v>
      </c>
      <c r="M79" s="5" t="n">
        <f aca="false">J79-L79</f>
        <v>20327.472</v>
      </c>
    </row>
    <row r="80" customFormat="false" ht="15.75" hidden="false" customHeight="true" outlineLevel="0" collapsed="false">
      <c r="A80" s="7" t="s">
        <v>140</v>
      </c>
      <c r="B80" s="8" t="s">
        <v>141</v>
      </c>
      <c r="C80" s="8" t="s">
        <v>125</v>
      </c>
      <c r="D80" s="8" t="s">
        <v>22</v>
      </c>
      <c r="E80" s="7" t="s">
        <v>28</v>
      </c>
      <c r="F80" s="7" t="s">
        <v>24</v>
      </c>
      <c r="G80" s="7" t="s">
        <v>29</v>
      </c>
      <c r="H80" s="8" t="n">
        <v>15</v>
      </c>
      <c r="I80" s="9" t="n">
        <v>1134.21</v>
      </c>
      <c r="J80" s="9" t="n">
        <f aca="false">H80*I80</f>
        <v>17013.15</v>
      </c>
      <c r="K80" s="10" t="n">
        <v>0.15</v>
      </c>
      <c r="L80" s="9" t="n">
        <f aca="false">J80*K80</f>
        <v>2551.9725</v>
      </c>
      <c r="M80" s="9" t="n">
        <f aca="false">J80-L80</f>
        <v>14461.1775</v>
      </c>
    </row>
    <row r="81" customFormat="false" ht="15.75" hidden="false" customHeight="true" outlineLevel="0" collapsed="false">
      <c r="A81" s="3" t="s">
        <v>142</v>
      </c>
      <c r="B81" s="4" t="s">
        <v>141</v>
      </c>
      <c r="C81" s="4" t="s">
        <v>125</v>
      </c>
      <c r="D81" s="4" t="s">
        <v>17</v>
      </c>
      <c r="E81" s="3" t="s">
        <v>18</v>
      </c>
      <c r="F81" s="3" t="s">
        <v>59</v>
      </c>
      <c r="G81" s="3" t="s">
        <v>86</v>
      </c>
      <c r="H81" s="4" t="n">
        <v>9</v>
      </c>
      <c r="I81" s="5" t="n">
        <v>1575.18</v>
      </c>
      <c r="J81" s="5" t="n">
        <f aca="false">H81*I81</f>
        <v>14176.62</v>
      </c>
      <c r="K81" s="6" t="n">
        <v>0.1</v>
      </c>
      <c r="L81" s="5" t="n">
        <f aca="false">J81*K81</f>
        <v>1417.662</v>
      </c>
      <c r="M81" s="5" t="n">
        <f aca="false">J81-L81</f>
        <v>12758.958</v>
      </c>
    </row>
    <row r="82" customFormat="false" ht="15.75" hidden="false" customHeight="true" outlineLevel="0" collapsed="false">
      <c r="A82" s="7" t="s">
        <v>143</v>
      </c>
      <c r="B82" s="8" t="s">
        <v>141</v>
      </c>
      <c r="C82" s="8" t="s">
        <v>125</v>
      </c>
      <c r="D82" s="8" t="s">
        <v>17</v>
      </c>
      <c r="E82" s="7" t="s">
        <v>32</v>
      </c>
      <c r="F82" s="7" t="s">
        <v>59</v>
      </c>
      <c r="G82" s="7" t="s">
        <v>60</v>
      </c>
      <c r="H82" s="8" t="n">
        <v>3</v>
      </c>
      <c r="I82" s="9" t="n">
        <v>1525</v>
      </c>
      <c r="J82" s="9" t="n">
        <f aca="false">H82*I82</f>
        <v>4575</v>
      </c>
      <c r="K82" s="10" t="n">
        <v>0</v>
      </c>
      <c r="L82" s="9" t="n">
        <f aca="false">J82*K82</f>
        <v>0</v>
      </c>
      <c r="M82" s="9" t="n">
        <f aca="false">J82-L82</f>
        <v>4575</v>
      </c>
    </row>
    <row r="83" customFormat="false" ht="15.75" hidden="false" customHeight="true" outlineLevel="0" collapsed="false">
      <c r="A83" s="3" t="s">
        <v>144</v>
      </c>
      <c r="B83" s="4" t="s">
        <v>141</v>
      </c>
      <c r="C83" s="4" t="s">
        <v>125</v>
      </c>
      <c r="D83" s="4" t="s">
        <v>17</v>
      </c>
      <c r="E83" s="3" t="s">
        <v>28</v>
      </c>
      <c r="F83" s="3" t="s">
        <v>39</v>
      </c>
      <c r="G83" s="3" t="s">
        <v>108</v>
      </c>
      <c r="H83" s="4" t="n">
        <v>3</v>
      </c>
      <c r="I83" s="5" t="n">
        <v>3648.15</v>
      </c>
      <c r="J83" s="5" t="n">
        <f aca="false">H83*I83</f>
        <v>10944.45</v>
      </c>
      <c r="K83" s="6" t="n">
        <v>0</v>
      </c>
      <c r="L83" s="5" t="n">
        <f aca="false">J83*K83</f>
        <v>0</v>
      </c>
      <c r="M83" s="5" t="n">
        <f aca="false">J83-L83</f>
        <v>10944.45</v>
      </c>
    </row>
    <row r="84" customFormat="false" ht="15.75" hidden="false" customHeight="true" outlineLevel="0" collapsed="false">
      <c r="A84" s="7" t="s">
        <v>145</v>
      </c>
      <c r="B84" s="8" t="s">
        <v>141</v>
      </c>
      <c r="C84" s="8" t="s">
        <v>125</v>
      </c>
      <c r="D84" s="8" t="s">
        <v>31</v>
      </c>
      <c r="E84" s="7" t="s">
        <v>67</v>
      </c>
      <c r="F84" s="7" t="s">
        <v>59</v>
      </c>
      <c r="G84" s="7" t="s">
        <v>60</v>
      </c>
      <c r="H84" s="8" t="n">
        <v>14</v>
      </c>
      <c r="I84" s="9" t="n">
        <v>1231.3</v>
      </c>
      <c r="J84" s="9" t="n">
        <f aca="false">H84*I84</f>
        <v>17238.2</v>
      </c>
      <c r="K84" s="10" t="n">
        <v>0.1</v>
      </c>
      <c r="L84" s="9" t="n">
        <f aca="false">J84*K84</f>
        <v>1723.82</v>
      </c>
      <c r="M84" s="9" t="n">
        <f aca="false">J84-L84</f>
        <v>15514.38</v>
      </c>
    </row>
    <row r="85" customFormat="false" ht="15.75" hidden="false" customHeight="true" outlineLevel="0" collapsed="false">
      <c r="A85" s="3" t="s">
        <v>146</v>
      </c>
      <c r="B85" s="4" t="s">
        <v>141</v>
      </c>
      <c r="C85" s="4" t="s">
        <v>125</v>
      </c>
      <c r="D85" s="4" t="s">
        <v>27</v>
      </c>
      <c r="E85" s="3" t="s">
        <v>18</v>
      </c>
      <c r="F85" s="3" t="s">
        <v>59</v>
      </c>
      <c r="G85" s="3" t="s">
        <v>86</v>
      </c>
      <c r="H85" s="4" t="n">
        <v>14</v>
      </c>
      <c r="I85" s="5" t="n">
        <v>1213.9</v>
      </c>
      <c r="J85" s="5" t="n">
        <f aca="false">H85*I85</f>
        <v>16994.6</v>
      </c>
      <c r="K85" s="6" t="n">
        <v>0.2</v>
      </c>
      <c r="L85" s="5" t="n">
        <f aca="false">J85*K85</f>
        <v>3398.92</v>
      </c>
      <c r="M85" s="5" t="n">
        <f aca="false">J85-L85</f>
        <v>13595.68</v>
      </c>
    </row>
    <row r="86" customFormat="false" ht="15.75" hidden="false" customHeight="true" outlineLevel="0" collapsed="false">
      <c r="A86" s="7" t="s">
        <v>147</v>
      </c>
      <c r="B86" s="8" t="s">
        <v>141</v>
      </c>
      <c r="C86" s="8" t="s">
        <v>125</v>
      </c>
      <c r="D86" s="8" t="s">
        <v>22</v>
      </c>
      <c r="E86" s="7" t="s">
        <v>32</v>
      </c>
      <c r="F86" s="7" t="s">
        <v>24</v>
      </c>
      <c r="G86" s="7" t="s">
        <v>25</v>
      </c>
      <c r="H86" s="8" t="n">
        <v>1</v>
      </c>
      <c r="I86" s="9" t="n">
        <v>1163.35</v>
      </c>
      <c r="J86" s="9" t="n">
        <f aca="false">H86*I86</f>
        <v>1163.35</v>
      </c>
      <c r="K86" s="10" t="n">
        <v>0</v>
      </c>
      <c r="L86" s="9" t="n">
        <f aca="false">J86*K86</f>
        <v>0</v>
      </c>
      <c r="M86" s="9" t="n">
        <f aca="false">J86-L86</f>
        <v>1163.35</v>
      </c>
    </row>
    <row r="87" customFormat="false" ht="15.75" hidden="false" customHeight="true" outlineLevel="0" collapsed="false">
      <c r="A87" s="3" t="s">
        <v>148</v>
      </c>
      <c r="B87" s="4" t="s">
        <v>141</v>
      </c>
      <c r="C87" s="4" t="s">
        <v>125</v>
      </c>
      <c r="D87" s="4" t="s">
        <v>31</v>
      </c>
      <c r="E87" s="3" t="s">
        <v>32</v>
      </c>
      <c r="F87" s="3" t="s">
        <v>59</v>
      </c>
      <c r="G87" s="3" t="s">
        <v>86</v>
      </c>
      <c r="H87" s="4" t="n">
        <v>8</v>
      </c>
      <c r="I87" s="5" t="n">
        <v>1102.02</v>
      </c>
      <c r="J87" s="5" t="n">
        <f aca="false">H87*I87</f>
        <v>8816.16</v>
      </c>
      <c r="K87" s="6" t="n">
        <v>0.05</v>
      </c>
      <c r="L87" s="5" t="n">
        <f aca="false">J87*K87</f>
        <v>440.808</v>
      </c>
      <c r="M87" s="5" t="n">
        <f aca="false">J87-L87</f>
        <v>8375.352</v>
      </c>
    </row>
    <row r="88" customFormat="false" ht="15.75" hidden="false" customHeight="true" outlineLevel="0" collapsed="false">
      <c r="A88" s="7" t="s">
        <v>149</v>
      </c>
      <c r="B88" s="8" t="s">
        <v>141</v>
      </c>
      <c r="C88" s="8" t="s">
        <v>125</v>
      </c>
      <c r="D88" s="8" t="s">
        <v>17</v>
      </c>
      <c r="E88" s="7" t="s">
        <v>38</v>
      </c>
      <c r="F88" s="7" t="s">
        <v>19</v>
      </c>
      <c r="G88" s="7" t="s">
        <v>49</v>
      </c>
      <c r="H88" s="8" t="n">
        <v>6</v>
      </c>
      <c r="I88" s="9" t="n">
        <v>48034.16</v>
      </c>
      <c r="J88" s="9" t="n">
        <f aca="false">H88*I88</f>
        <v>288204.96</v>
      </c>
      <c r="K88" s="10" t="n">
        <v>0</v>
      </c>
      <c r="L88" s="9" t="n">
        <f aca="false">J88*K88</f>
        <v>0</v>
      </c>
      <c r="M88" s="9" t="n">
        <f aca="false">J88-L88</f>
        <v>288204.96</v>
      </c>
    </row>
    <row r="89" customFormat="false" ht="15.75" hidden="false" customHeight="true" outlineLevel="0" collapsed="false">
      <c r="A89" s="3" t="s">
        <v>150</v>
      </c>
      <c r="B89" s="4" t="s">
        <v>141</v>
      </c>
      <c r="C89" s="4" t="s">
        <v>125</v>
      </c>
      <c r="D89" s="4" t="s">
        <v>27</v>
      </c>
      <c r="E89" s="3" t="s">
        <v>38</v>
      </c>
      <c r="F89" s="3" t="s">
        <v>24</v>
      </c>
      <c r="G89" s="3" t="s">
        <v>29</v>
      </c>
      <c r="H89" s="4" t="n">
        <v>19</v>
      </c>
      <c r="I89" s="5" t="n">
        <v>921.21</v>
      </c>
      <c r="J89" s="5" t="n">
        <f aca="false">H89*I89</f>
        <v>17502.99</v>
      </c>
      <c r="K89" s="6" t="n">
        <v>0</v>
      </c>
      <c r="L89" s="5" t="n">
        <f aca="false">J89*K89</f>
        <v>0</v>
      </c>
      <c r="M89" s="5" t="n">
        <f aca="false">J89-L89</f>
        <v>17502.99</v>
      </c>
    </row>
    <row r="90" customFormat="false" ht="15.75" hidden="false" customHeight="true" outlineLevel="0" collapsed="false">
      <c r="A90" s="7" t="s">
        <v>151</v>
      </c>
      <c r="B90" s="8" t="s">
        <v>141</v>
      </c>
      <c r="C90" s="8" t="s">
        <v>125</v>
      </c>
      <c r="D90" s="8" t="s">
        <v>31</v>
      </c>
      <c r="E90" s="7" t="s">
        <v>32</v>
      </c>
      <c r="F90" s="7" t="s">
        <v>19</v>
      </c>
      <c r="G90" s="7" t="s">
        <v>49</v>
      </c>
      <c r="H90" s="8" t="n">
        <v>6</v>
      </c>
      <c r="I90" s="9" t="n">
        <v>25907.97</v>
      </c>
      <c r="J90" s="9" t="n">
        <f aca="false">H90*I90</f>
        <v>155447.82</v>
      </c>
      <c r="K90" s="10" t="n">
        <v>0.05</v>
      </c>
      <c r="L90" s="9" t="n">
        <f aca="false">J90*K90</f>
        <v>7772.391</v>
      </c>
      <c r="M90" s="9" t="n">
        <f aca="false">J90-L90</f>
        <v>147675.429</v>
      </c>
    </row>
    <row r="91" customFormat="false" ht="15.75" hidden="false" customHeight="true" outlineLevel="0" collapsed="false">
      <c r="A91" s="3" t="s">
        <v>152</v>
      </c>
      <c r="B91" s="4" t="s">
        <v>141</v>
      </c>
      <c r="C91" s="4" t="s">
        <v>125</v>
      </c>
      <c r="D91" s="4" t="s">
        <v>22</v>
      </c>
      <c r="E91" s="3" t="s">
        <v>35</v>
      </c>
      <c r="F91" s="3" t="s">
        <v>39</v>
      </c>
      <c r="G91" s="3" t="s">
        <v>73</v>
      </c>
      <c r="H91" s="4" t="n">
        <v>11</v>
      </c>
      <c r="I91" s="5" t="n">
        <v>5890.43</v>
      </c>
      <c r="J91" s="5" t="n">
        <f aca="false">H91*I91</f>
        <v>64794.73</v>
      </c>
      <c r="K91" s="6" t="n">
        <v>0.05</v>
      </c>
      <c r="L91" s="5" t="n">
        <f aca="false">J91*K91</f>
        <v>3239.7365</v>
      </c>
      <c r="M91" s="5" t="n">
        <f aca="false">J91-L91</f>
        <v>61554.9935</v>
      </c>
    </row>
    <row r="92" customFormat="false" ht="15.75" hidden="false" customHeight="true" outlineLevel="0" collapsed="false">
      <c r="A92" s="7" t="s">
        <v>153</v>
      </c>
      <c r="B92" s="8" t="s">
        <v>141</v>
      </c>
      <c r="C92" s="8" t="s">
        <v>125</v>
      </c>
      <c r="D92" s="8" t="s">
        <v>17</v>
      </c>
      <c r="E92" s="7" t="s">
        <v>67</v>
      </c>
      <c r="F92" s="7" t="s">
        <v>39</v>
      </c>
      <c r="G92" s="7" t="s">
        <v>103</v>
      </c>
      <c r="H92" s="8" t="n">
        <v>16</v>
      </c>
      <c r="I92" s="9" t="n">
        <v>3219.78</v>
      </c>
      <c r="J92" s="9" t="n">
        <f aca="false">H92*I92</f>
        <v>51516.48</v>
      </c>
      <c r="K92" s="10" t="n">
        <v>0.1</v>
      </c>
      <c r="L92" s="9" t="n">
        <f aca="false">J92*K92</f>
        <v>5151.648</v>
      </c>
      <c r="M92" s="9" t="n">
        <f aca="false">J92-L92</f>
        <v>46364.832</v>
      </c>
    </row>
    <row r="93" customFormat="false" ht="15.75" hidden="false" customHeight="true" outlineLevel="0" collapsed="false">
      <c r="A93" s="3" t="s">
        <v>154</v>
      </c>
      <c r="B93" s="4" t="s">
        <v>141</v>
      </c>
      <c r="C93" s="4" t="s">
        <v>125</v>
      </c>
      <c r="D93" s="4" t="s">
        <v>31</v>
      </c>
      <c r="E93" s="3" t="s">
        <v>67</v>
      </c>
      <c r="F93" s="3" t="s">
        <v>19</v>
      </c>
      <c r="G93" s="3" t="s">
        <v>155</v>
      </c>
      <c r="H93" s="4" t="n">
        <v>2</v>
      </c>
      <c r="I93" s="5" t="n">
        <v>45618.53</v>
      </c>
      <c r="J93" s="5" t="n">
        <f aca="false">H93*I93</f>
        <v>91237.06</v>
      </c>
      <c r="K93" s="6" t="n">
        <v>0</v>
      </c>
      <c r="L93" s="5" t="n">
        <f aca="false">J93*K93</f>
        <v>0</v>
      </c>
      <c r="M93" s="5" t="n">
        <f aca="false">J93-L93</f>
        <v>91237.06</v>
      </c>
    </row>
    <row r="94" customFormat="false" ht="15.75" hidden="false" customHeight="true" outlineLevel="0" collapsed="false">
      <c r="A94" s="7" t="s">
        <v>156</v>
      </c>
      <c r="B94" s="8" t="s">
        <v>141</v>
      </c>
      <c r="C94" s="8" t="s">
        <v>125</v>
      </c>
      <c r="D94" s="8" t="s">
        <v>31</v>
      </c>
      <c r="E94" s="7" t="s">
        <v>18</v>
      </c>
      <c r="F94" s="7" t="s">
        <v>51</v>
      </c>
      <c r="G94" s="7" t="s">
        <v>83</v>
      </c>
      <c r="H94" s="8" t="n">
        <v>5</v>
      </c>
      <c r="I94" s="9" t="n">
        <v>2697.12</v>
      </c>
      <c r="J94" s="9" t="n">
        <f aca="false">H94*I94</f>
        <v>13485.6</v>
      </c>
      <c r="K94" s="10" t="n">
        <v>0</v>
      </c>
      <c r="L94" s="9" t="n">
        <f aca="false">J94*K94</f>
        <v>0</v>
      </c>
      <c r="M94" s="9" t="n">
        <f aca="false">J94-L94</f>
        <v>13485.6</v>
      </c>
    </row>
    <row r="95" customFormat="false" ht="15.75" hidden="false" customHeight="true" outlineLevel="0" collapsed="false">
      <c r="A95" s="3" t="s">
        <v>157</v>
      </c>
      <c r="B95" s="4" t="s">
        <v>141</v>
      </c>
      <c r="C95" s="4" t="s">
        <v>125</v>
      </c>
      <c r="D95" s="4" t="s">
        <v>22</v>
      </c>
      <c r="E95" s="3" t="s">
        <v>47</v>
      </c>
      <c r="F95" s="3" t="s">
        <v>24</v>
      </c>
      <c r="G95" s="3" t="s">
        <v>106</v>
      </c>
      <c r="H95" s="4" t="n">
        <v>12</v>
      </c>
      <c r="I95" s="5" t="n">
        <v>667.39</v>
      </c>
      <c r="J95" s="5" t="n">
        <f aca="false">H95*I95</f>
        <v>8008.68</v>
      </c>
      <c r="K95" s="6" t="n">
        <v>0.1</v>
      </c>
      <c r="L95" s="5" t="n">
        <f aca="false">J95*K95</f>
        <v>800.868</v>
      </c>
      <c r="M95" s="5" t="n">
        <f aca="false">J95-L95</f>
        <v>7207.812</v>
      </c>
    </row>
    <row r="96" customFormat="false" ht="15.75" hidden="false" customHeight="true" outlineLevel="0" collapsed="false">
      <c r="A96" s="7" t="s">
        <v>158</v>
      </c>
      <c r="B96" s="8" t="s">
        <v>141</v>
      </c>
      <c r="C96" s="8" t="s">
        <v>125</v>
      </c>
      <c r="D96" s="8" t="s">
        <v>17</v>
      </c>
      <c r="E96" s="7" t="s">
        <v>67</v>
      </c>
      <c r="F96" s="7" t="s">
        <v>19</v>
      </c>
      <c r="G96" s="7" t="s">
        <v>36</v>
      </c>
      <c r="H96" s="8" t="n">
        <v>19</v>
      </c>
      <c r="I96" s="9" t="n">
        <v>25219</v>
      </c>
      <c r="J96" s="9" t="n">
        <f aca="false">H96*I96</f>
        <v>479161</v>
      </c>
      <c r="K96" s="10" t="n">
        <v>0</v>
      </c>
      <c r="L96" s="9" t="n">
        <f aca="false">J96*K96</f>
        <v>0</v>
      </c>
      <c r="M96" s="9" t="n">
        <f aca="false">J96-L96</f>
        <v>479161</v>
      </c>
    </row>
    <row r="97" customFormat="false" ht="15.75" hidden="false" customHeight="true" outlineLevel="0" collapsed="false">
      <c r="A97" s="3" t="s">
        <v>159</v>
      </c>
      <c r="B97" s="4" t="s">
        <v>141</v>
      </c>
      <c r="C97" s="4" t="s">
        <v>125</v>
      </c>
      <c r="D97" s="4" t="s">
        <v>22</v>
      </c>
      <c r="E97" s="3" t="s">
        <v>18</v>
      </c>
      <c r="F97" s="3" t="s">
        <v>24</v>
      </c>
      <c r="G97" s="3" t="s">
        <v>33</v>
      </c>
      <c r="H97" s="4" t="n">
        <v>3</v>
      </c>
      <c r="I97" s="5" t="n">
        <v>938.94</v>
      </c>
      <c r="J97" s="5" t="n">
        <f aca="false">H97*I97</f>
        <v>2816.82</v>
      </c>
      <c r="K97" s="6" t="n">
        <v>0.2</v>
      </c>
      <c r="L97" s="5" t="n">
        <f aca="false">J97*K97</f>
        <v>563.364</v>
      </c>
      <c r="M97" s="5" t="n">
        <f aca="false">J97-L97</f>
        <v>2253.456</v>
      </c>
    </row>
    <row r="98" customFormat="false" ht="15.75" hidden="false" customHeight="true" outlineLevel="0" collapsed="false">
      <c r="A98" s="7" t="s">
        <v>160</v>
      </c>
      <c r="B98" s="8" t="s">
        <v>141</v>
      </c>
      <c r="C98" s="8" t="s">
        <v>125</v>
      </c>
      <c r="D98" s="8" t="s">
        <v>17</v>
      </c>
      <c r="E98" s="7" t="s">
        <v>44</v>
      </c>
      <c r="F98" s="7" t="s">
        <v>51</v>
      </c>
      <c r="G98" s="7" t="s">
        <v>83</v>
      </c>
      <c r="H98" s="8" t="n">
        <v>4</v>
      </c>
      <c r="I98" s="9" t="n">
        <v>3342.45</v>
      </c>
      <c r="J98" s="9" t="n">
        <f aca="false">H98*I98</f>
        <v>13369.8</v>
      </c>
      <c r="K98" s="10" t="n">
        <v>0.1</v>
      </c>
      <c r="L98" s="9" t="n">
        <f aca="false">J98*K98</f>
        <v>1336.98</v>
      </c>
      <c r="M98" s="9" t="n">
        <f aca="false">J98-L98</f>
        <v>12032.82</v>
      </c>
    </row>
    <row r="99" customFormat="false" ht="15.75" hidden="false" customHeight="true" outlineLevel="0" collapsed="false">
      <c r="A99" s="3" t="s">
        <v>161</v>
      </c>
      <c r="B99" s="4" t="s">
        <v>141</v>
      </c>
      <c r="C99" s="4" t="s">
        <v>125</v>
      </c>
      <c r="D99" s="4" t="s">
        <v>22</v>
      </c>
      <c r="E99" s="3" t="s">
        <v>35</v>
      </c>
      <c r="F99" s="3" t="s">
        <v>19</v>
      </c>
      <c r="G99" s="3" t="s">
        <v>155</v>
      </c>
      <c r="H99" s="4" t="n">
        <v>3</v>
      </c>
      <c r="I99" s="5" t="n">
        <v>38666.9</v>
      </c>
      <c r="J99" s="5" t="n">
        <f aca="false">H99*I99</f>
        <v>116000.7</v>
      </c>
      <c r="K99" s="6" t="n">
        <v>0</v>
      </c>
      <c r="L99" s="5" t="n">
        <f aca="false">J99*K99</f>
        <v>0</v>
      </c>
      <c r="M99" s="5" t="n">
        <f aca="false">J99-L99</f>
        <v>116000.7</v>
      </c>
    </row>
    <row r="100" customFormat="false" ht="15.75" hidden="false" customHeight="true" outlineLevel="0" collapsed="false">
      <c r="A100" s="7" t="s">
        <v>162</v>
      </c>
      <c r="B100" s="8" t="s">
        <v>141</v>
      </c>
      <c r="C100" s="8" t="s">
        <v>125</v>
      </c>
      <c r="D100" s="8" t="s">
        <v>22</v>
      </c>
      <c r="E100" s="7" t="s">
        <v>67</v>
      </c>
      <c r="F100" s="7" t="s">
        <v>19</v>
      </c>
      <c r="G100" s="7" t="s">
        <v>49</v>
      </c>
      <c r="H100" s="8" t="n">
        <v>14</v>
      </c>
      <c r="I100" s="9" t="n">
        <v>51402.05</v>
      </c>
      <c r="J100" s="9" t="n">
        <f aca="false">H100*I100</f>
        <v>719628.7</v>
      </c>
      <c r="K100" s="10" t="n">
        <v>0.15</v>
      </c>
      <c r="L100" s="9" t="n">
        <f aca="false">J100*K100</f>
        <v>107944.305</v>
      </c>
      <c r="M100" s="9" t="n">
        <f aca="false">J100-L100</f>
        <v>611684.395</v>
      </c>
    </row>
    <row r="101" customFormat="false" ht="15.75" hidden="false" customHeight="true" outlineLevel="0" collapsed="false">
      <c r="A101" s="3" t="s">
        <v>163</v>
      </c>
      <c r="B101" s="4" t="s">
        <v>141</v>
      </c>
      <c r="C101" s="4" t="s">
        <v>125</v>
      </c>
      <c r="D101" s="4" t="s">
        <v>22</v>
      </c>
      <c r="E101" s="3" t="s">
        <v>58</v>
      </c>
      <c r="F101" s="3" t="s">
        <v>59</v>
      </c>
      <c r="G101" s="3" t="s">
        <v>60</v>
      </c>
      <c r="H101" s="4" t="n">
        <v>17</v>
      </c>
      <c r="I101" s="5" t="n">
        <v>1766.85</v>
      </c>
      <c r="J101" s="5" t="n">
        <f aca="false">H101*I101</f>
        <v>30036.45</v>
      </c>
      <c r="K101" s="6" t="n">
        <v>0</v>
      </c>
      <c r="L101" s="5" t="n">
        <f aca="false">J101*K101</f>
        <v>0</v>
      </c>
      <c r="M101" s="5" t="n">
        <f aca="false">J101-L101</f>
        <v>30036.45</v>
      </c>
    </row>
    <row r="102" customFormat="false" ht="15.75" hidden="false" customHeight="true" outlineLevel="0" collapsed="false">
      <c r="A102" s="7" t="s">
        <v>164</v>
      </c>
      <c r="B102" s="8" t="s">
        <v>165</v>
      </c>
      <c r="C102" s="8" t="s">
        <v>125</v>
      </c>
      <c r="D102" s="8" t="s">
        <v>22</v>
      </c>
      <c r="E102" s="7" t="s">
        <v>38</v>
      </c>
      <c r="F102" s="7" t="s">
        <v>24</v>
      </c>
      <c r="G102" s="7" t="s">
        <v>33</v>
      </c>
      <c r="H102" s="8" t="n">
        <v>19</v>
      </c>
      <c r="I102" s="9" t="n">
        <v>731.77</v>
      </c>
      <c r="J102" s="9" t="n">
        <f aca="false">H102*I102</f>
        <v>13903.63</v>
      </c>
      <c r="K102" s="10" t="n">
        <v>0.2</v>
      </c>
      <c r="L102" s="9" t="n">
        <f aca="false">J102*K102</f>
        <v>2780.726</v>
      </c>
      <c r="M102" s="9" t="n">
        <f aca="false">J102-L102</f>
        <v>11122.904</v>
      </c>
    </row>
    <row r="103" customFormat="false" ht="15.75" hidden="false" customHeight="true" outlineLevel="0" collapsed="false">
      <c r="A103" s="3" t="s">
        <v>166</v>
      </c>
      <c r="B103" s="4" t="s">
        <v>165</v>
      </c>
      <c r="C103" s="4" t="s">
        <v>125</v>
      </c>
      <c r="D103" s="4" t="s">
        <v>17</v>
      </c>
      <c r="E103" s="3" t="s">
        <v>32</v>
      </c>
      <c r="F103" s="3" t="s">
        <v>51</v>
      </c>
      <c r="G103" s="3" t="s">
        <v>83</v>
      </c>
      <c r="H103" s="4" t="n">
        <v>8</v>
      </c>
      <c r="I103" s="5" t="n">
        <v>3250.95</v>
      </c>
      <c r="J103" s="5" t="n">
        <f aca="false">H103*I103</f>
        <v>26007.6</v>
      </c>
      <c r="K103" s="6" t="n">
        <v>0.1</v>
      </c>
      <c r="L103" s="5" t="n">
        <f aca="false">J103*K103</f>
        <v>2600.76</v>
      </c>
      <c r="M103" s="5" t="n">
        <f aca="false">J103-L103</f>
        <v>23406.84</v>
      </c>
    </row>
    <row r="104" customFormat="false" ht="15.75" hidden="false" customHeight="true" outlineLevel="0" collapsed="false">
      <c r="A104" s="7" t="s">
        <v>167</v>
      </c>
      <c r="B104" s="8" t="s">
        <v>165</v>
      </c>
      <c r="C104" s="8" t="s">
        <v>125</v>
      </c>
      <c r="D104" s="8" t="s">
        <v>17</v>
      </c>
      <c r="E104" s="7" t="s">
        <v>23</v>
      </c>
      <c r="F104" s="7" t="s">
        <v>24</v>
      </c>
      <c r="G104" s="7" t="s">
        <v>33</v>
      </c>
      <c r="H104" s="8" t="n">
        <v>16</v>
      </c>
      <c r="I104" s="9" t="n">
        <v>1104.61</v>
      </c>
      <c r="J104" s="9" t="n">
        <f aca="false">H104*I104</f>
        <v>17673.76</v>
      </c>
      <c r="K104" s="10" t="n">
        <v>0</v>
      </c>
      <c r="L104" s="9" t="n">
        <f aca="false">J104*K104</f>
        <v>0</v>
      </c>
      <c r="M104" s="9" t="n">
        <f aca="false">J104-L104</f>
        <v>17673.76</v>
      </c>
    </row>
    <row r="105" customFormat="false" ht="15.75" hidden="false" customHeight="true" outlineLevel="0" collapsed="false">
      <c r="A105" s="3" t="s">
        <v>168</v>
      </c>
      <c r="B105" s="4" t="s">
        <v>165</v>
      </c>
      <c r="C105" s="4" t="s">
        <v>125</v>
      </c>
      <c r="D105" s="4" t="s">
        <v>17</v>
      </c>
      <c r="E105" s="3" t="s">
        <v>47</v>
      </c>
      <c r="F105" s="3" t="s">
        <v>59</v>
      </c>
      <c r="G105" s="3" t="s">
        <v>60</v>
      </c>
      <c r="H105" s="4" t="n">
        <v>11</v>
      </c>
      <c r="I105" s="5" t="n">
        <v>1108.47</v>
      </c>
      <c r="J105" s="5" t="n">
        <f aca="false">H105*I105</f>
        <v>12193.17</v>
      </c>
      <c r="K105" s="6" t="n">
        <v>0.1</v>
      </c>
      <c r="L105" s="5" t="n">
        <f aca="false">J105*K105</f>
        <v>1219.317</v>
      </c>
      <c r="M105" s="5" t="n">
        <f aca="false">J105-L105</f>
        <v>10973.853</v>
      </c>
    </row>
    <row r="106" customFormat="false" ht="15.75" hidden="false" customHeight="true" outlineLevel="0" collapsed="false">
      <c r="A106" s="7" t="s">
        <v>169</v>
      </c>
      <c r="B106" s="8" t="s">
        <v>165</v>
      </c>
      <c r="C106" s="8" t="s">
        <v>125</v>
      </c>
      <c r="D106" s="8" t="s">
        <v>27</v>
      </c>
      <c r="E106" s="7" t="s">
        <v>28</v>
      </c>
      <c r="F106" s="7" t="s">
        <v>39</v>
      </c>
      <c r="G106" s="7" t="s">
        <v>62</v>
      </c>
      <c r="H106" s="8" t="n">
        <v>7</v>
      </c>
      <c r="I106" s="9" t="n">
        <v>3458.21</v>
      </c>
      <c r="J106" s="9" t="n">
        <f aca="false">H106*I106</f>
        <v>24207.47</v>
      </c>
      <c r="K106" s="10" t="n">
        <v>0.15</v>
      </c>
      <c r="L106" s="9" t="n">
        <f aca="false">J106*K106</f>
        <v>3631.1205</v>
      </c>
      <c r="M106" s="9" t="n">
        <f aca="false">J106-L106</f>
        <v>20576.3495</v>
      </c>
    </row>
    <row r="107" customFormat="false" ht="15.75" hidden="false" customHeight="true" outlineLevel="0" collapsed="false">
      <c r="A107" s="3" t="s">
        <v>170</v>
      </c>
      <c r="B107" s="4" t="s">
        <v>165</v>
      </c>
      <c r="C107" s="4" t="s">
        <v>125</v>
      </c>
      <c r="D107" s="4" t="s">
        <v>31</v>
      </c>
      <c r="E107" s="3" t="s">
        <v>32</v>
      </c>
      <c r="F107" s="3" t="s">
        <v>59</v>
      </c>
      <c r="G107" s="3" t="s">
        <v>86</v>
      </c>
      <c r="H107" s="4" t="n">
        <v>16</v>
      </c>
      <c r="I107" s="5" t="n">
        <v>1270.25</v>
      </c>
      <c r="J107" s="5" t="n">
        <f aca="false">H107*I107</f>
        <v>20324</v>
      </c>
      <c r="K107" s="6" t="n">
        <v>0</v>
      </c>
      <c r="L107" s="5" t="n">
        <f aca="false">J107*K107</f>
        <v>0</v>
      </c>
      <c r="M107" s="5" t="n">
        <f aca="false">J107-L107</f>
        <v>20324</v>
      </c>
    </row>
    <row r="108" customFormat="false" ht="15.75" hidden="false" customHeight="true" outlineLevel="0" collapsed="false">
      <c r="A108" s="7" t="s">
        <v>171</v>
      </c>
      <c r="B108" s="8" t="s">
        <v>165</v>
      </c>
      <c r="C108" s="8" t="s">
        <v>125</v>
      </c>
      <c r="D108" s="8" t="s">
        <v>31</v>
      </c>
      <c r="E108" s="7" t="s">
        <v>38</v>
      </c>
      <c r="F108" s="7" t="s">
        <v>19</v>
      </c>
      <c r="G108" s="7" t="s">
        <v>155</v>
      </c>
      <c r="H108" s="8" t="n">
        <v>8</v>
      </c>
      <c r="I108" s="9" t="n">
        <v>33073.77</v>
      </c>
      <c r="J108" s="9" t="n">
        <f aca="false">H108*I108</f>
        <v>264590.16</v>
      </c>
      <c r="K108" s="10" t="n">
        <v>0.1</v>
      </c>
      <c r="L108" s="9" t="n">
        <f aca="false">J108*K108</f>
        <v>26459.016</v>
      </c>
      <c r="M108" s="9" t="n">
        <f aca="false">J108-L108</f>
        <v>238131.144</v>
      </c>
    </row>
    <row r="109" customFormat="false" ht="15.75" hidden="false" customHeight="true" outlineLevel="0" collapsed="false">
      <c r="A109" s="3" t="s">
        <v>172</v>
      </c>
      <c r="B109" s="4" t="s">
        <v>165</v>
      </c>
      <c r="C109" s="4" t="s">
        <v>125</v>
      </c>
      <c r="D109" s="4" t="s">
        <v>17</v>
      </c>
      <c r="E109" s="3" t="s">
        <v>38</v>
      </c>
      <c r="F109" s="3" t="s">
        <v>39</v>
      </c>
      <c r="G109" s="3" t="s">
        <v>103</v>
      </c>
      <c r="H109" s="4" t="n">
        <v>18</v>
      </c>
      <c r="I109" s="5" t="n">
        <v>4340.85</v>
      </c>
      <c r="J109" s="5" t="n">
        <f aca="false">H109*I109</f>
        <v>78135.3</v>
      </c>
      <c r="K109" s="6" t="n">
        <v>0.15</v>
      </c>
      <c r="L109" s="5" t="n">
        <f aca="false">J109*K109</f>
        <v>11720.295</v>
      </c>
      <c r="M109" s="5" t="n">
        <f aca="false">J109-L109</f>
        <v>66415.005</v>
      </c>
    </row>
    <row r="110" customFormat="false" ht="15.75" hidden="false" customHeight="true" outlineLevel="0" collapsed="false">
      <c r="A110" s="7" t="s">
        <v>173</v>
      </c>
      <c r="B110" s="8" t="s">
        <v>165</v>
      </c>
      <c r="C110" s="8" t="s">
        <v>125</v>
      </c>
      <c r="D110" s="8" t="s">
        <v>17</v>
      </c>
      <c r="E110" s="7" t="s">
        <v>47</v>
      </c>
      <c r="F110" s="7" t="s">
        <v>59</v>
      </c>
      <c r="G110" s="7" t="s">
        <v>95</v>
      </c>
      <c r="H110" s="8" t="n">
        <v>8</v>
      </c>
      <c r="I110" s="9" t="n">
        <v>955.83</v>
      </c>
      <c r="J110" s="9" t="n">
        <f aca="false">H110*I110</f>
        <v>7646.64</v>
      </c>
      <c r="K110" s="10" t="n">
        <v>0</v>
      </c>
      <c r="L110" s="9" t="n">
        <f aca="false">J110*K110</f>
        <v>0</v>
      </c>
      <c r="M110" s="9" t="n">
        <f aca="false">J110-L110</f>
        <v>7646.64</v>
      </c>
    </row>
    <row r="111" customFormat="false" ht="15.75" hidden="false" customHeight="true" outlineLevel="0" collapsed="false">
      <c r="A111" s="3" t="s">
        <v>174</v>
      </c>
      <c r="B111" s="4" t="s">
        <v>165</v>
      </c>
      <c r="C111" s="4" t="s">
        <v>125</v>
      </c>
      <c r="D111" s="4" t="s">
        <v>31</v>
      </c>
      <c r="E111" s="3" t="s">
        <v>18</v>
      </c>
      <c r="F111" s="3" t="s">
        <v>39</v>
      </c>
      <c r="G111" s="3" t="s">
        <v>40</v>
      </c>
      <c r="H111" s="4" t="n">
        <v>7</v>
      </c>
      <c r="I111" s="5" t="n">
        <v>5808.98</v>
      </c>
      <c r="J111" s="5" t="n">
        <f aca="false">H111*I111</f>
        <v>40662.86</v>
      </c>
      <c r="K111" s="6" t="n">
        <v>0</v>
      </c>
      <c r="L111" s="5" t="n">
        <f aca="false">J111*K111</f>
        <v>0</v>
      </c>
      <c r="M111" s="5" t="n">
        <f aca="false">J111-L111</f>
        <v>40662.86</v>
      </c>
    </row>
    <row r="112" customFormat="false" ht="15.75" hidden="false" customHeight="true" outlineLevel="0" collapsed="false">
      <c r="A112" s="7" t="s">
        <v>175</v>
      </c>
      <c r="B112" s="8" t="s">
        <v>165</v>
      </c>
      <c r="C112" s="8" t="s">
        <v>125</v>
      </c>
      <c r="D112" s="8" t="s">
        <v>17</v>
      </c>
      <c r="E112" s="7" t="s">
        <v>67</v>
      </c>
      <c r="F112" s="7" t="s">
        <v>24</v>
      </c>
      <c r="G112" s="7" t="s">
        <v>29</v>
      </c>
      <c r="H112" s="8" t="n">
        <v>7</v>
      </c>
      <c r="I112" s="9" t="n">
        <v>749.6</v>
      </c>
      <c r="J112" s="9" t="n">
        <f aca="false">H112*I112</f>
        <v>5247.2</v>
      </c>
      <c r="K112" s="10" t="n">
        <v>0</v>
      </c>
      <c r="L112" s="9" t="n">
        <f aca="false">J112*K112</f>
        <v>0</v>
      </c>
      <c r="M112" s="9" t="n">
        <f aca="false">J112-L112</f>
        <v>5247.2</v>
      </c>
    </row>
    <row r="113" customFormat="false" ht="15.75" hidden="false" customHeight="true" outlineLevel="0" collapsed="false">
      <c r="A113" s="3" t="s">
        <v>176</v>
      </c>
      <c r="B113" s="4" t="s">
        <v>165</v>
      </c>
      <c r="C113" s="4" t="s">
        <v>125</v>
      </c>
      <c r="D113" s="4" t="s">
        <v>27</v>
      </c>
      <c r="E113" s="3" t="s">
        <v>28</v>
      </c>
      <c r="F113" s="3" t="s">
        <v>51</v>
      </c>
      <c r="G113" s="3" t="s">
        <v>52</v>
      </c>
      <c r="H113" s="4" t="n">
        <v>5</v>
      </c>
      <c r="I113" s="5" t="n">
        <v>2298.62</v>
      </c>
      <c r="J113" s="5" t="n">
        <f aca="false">H113*I113</f>
        <v>11493.1</v>
      </c>
      <c r="K113" s="6" t="n">
        <v>0</v>
      </c>
      <c r="L113" s="5" t="n">
        <f aca="false">J113*K113</f>
        <v>0</v>
      </c>
      <c r="M113" s="5" t="n">
        <f aca="false">J113-L113</f>
        <v>11493.1</v>
      </c>
    </row>
    <row r="114" customFormat="false" ht="15.75" hidden="false" customHeight="true" outlineLevel="0" collapsed="false">
      <c r="A114" s="7" t="s">
        <v>177</v>
      </c>
      <c r="B114" s="8" t="s">
        <v>165</v>
      </c>
      <c r="C114" s="8" t="s">
        <v>125</v>
      </c>
      <c r="D114" s="8" t="s">
        <v>31</v>
      </c>
      <c r="E114" s="7" t="s">
        <v>32</v>
      </c>
      <c r="F114" s="7" t="s">
        <v>24</v>
      </c>
      <c r="G114" s="7" t="s">
        <v>42</v>
      </c>
      <c r="H114" s="8" t="n">
        <v>4</v>
      </c>
      <c r="I114" s="9" t="n">
        <v>1118.54</v>
      </c>
      <c r="J114" s="9" t="n">
        <f aca="false">H114*I114</f>
        <v>4474.16</v>
      </c>
      <c r="K114" s="10" t="n">
        <v>0.1</v>
      </c>
      <c r="L114" s="9" t="n">
        <f aca="false">J114*K114</f>
        <v>447.416</v>
      </c>
      <c r="M114" s="9" t="n">
        <f aca="false">J114-L114</f>
        <v>4026.744</v>
      </c>
    </row>
    <row r="115" customFormat="false" ht="15.75" hidden="false" customHeight="true" outlineLevel="0" collapsed="false">
      <c r="A115" s="3" t="s">
        <v>178</v>
      </c>
      <c r="B115" s="4" t="s">
        <v>165</v>
      </c>
      <c r="C115" s="4" t="s">
        <v>125</v>
      </c>
      <c r="D115" s="4" t="s">
        <v>22</v>
      </c>
      <c r="E115" s="3" t="s">
        <v>32</v>
      </c>
      <c r="F115" s="3" t="s">
        <v>39</v>
      </c>
      <c r="G115" s="3" t="s">
        <v>103</v>
      </c>
      <c r="H115" s="4" t="n">
        <v>11</v>
      </c>
      <c r="I115" s="5" t="n">
        <v>3813.71</v>
      </c>
      <c r="J115" s="5" t="n">
        <f aca="false">H115*I115</f>
        <v>41950.81</v>
      </c>
      <c r="K115" s="6" t="n">
        <v>0</v>
      </c>
      <c r="L115" s="5" t="n">
        <f aca="false">J115*K115</f>
        <v>0</v>
      </c>
      <c r="M115" s="5" t="n">
        <f aca="false">J115-L115</f>
        <v>41950.81</v>
      </c>
    </row>
    <row r="116" customFormat="false" ht="15.75" hidden="false" customHeight="true" outlineLevel="0" collapsed="false">
      <c r="A116" s="7" t="s">
        <v>179</v>
      </c>
      <c r="B116" s="8" t="s">
        <v>165</v>
      </c>
      <c r="C116" s="8" t="s">
        <v>125</v>
      </c>
      <c r="D116" s="8" t="s">
        <v>27</v>
      </c>
      <c r="E116" s="7" t="s">
        <v>67</v>
      </c>
      <c r="F116" s="7" t="s">
        <v>39</v>
      </c>
      <c r="G116" s="7" t="s">
        <v>103</v>
      </c>
      <c r="H116" s="8" t="n">
        <v>13</v>
      </c>
      <c r="I116" s="9" t="n">
        <v>4920.29</v>
      </c>
      <c r="J116" s="9" t="n">
        <f aca="false">H116*I116</f>
        <v>63963.77</v>
      </c>
      <c r="K116" s="10" t="n">
        <v>0.1</v>
      </c>
      <c r="L116" s="9" t="n">
        <f aca="false">J116*K116</f>
        <v>6396.377</v>
      </c>
      <c r="M116" s="9" t="n">
        <f aca="false">J116-L116</f>
        <v>57567.393</v>
      </c>
    </row>
    <row r="117" customFormat="false" ht="15.75" hidden="false" customHeight="true" outlineLevel="0" collapsed="false">
      <c r="A117" s="3" t="s">
        <v>180</v>
      </c>
      <c r="B117" s="4" t="s">
        <v>165</v>
      </c>
      <c r="C117" s="4" t="s">
        <v>125</v>
      </c>
      <c r="D117" s="4" t="s">
        <v>31</v>
      </c>
      <c r="E117" s="3" t="s">
        <v>44</v>
      </c>
      <c r="F117" s="3" t="s">
        <v>19</v>
      </c>
      <c r="G117" s="3" t="s">
        <v>36</v>
      </c>
      <c r="H117" s="4" t="n">
        <v>10</v>
      </c>
      <c r="I117" s="5" t="n">
        <v>26885.07</v>
      </c>
      <c r="J117" s="5" t="n">
        <f aca="false">H117*I117</f>
        <v>268850.7</v>
      </c>
      <c r="K117" s="6" t="n">
        <v>0</v>
      </c>
      <c r="L117" s="5" t="n">
        <f aca="false">J117*K117</f>
        <v>0</v>
      </c>
      <c r="M117" s="5" t="n">
        <f aca="false">J117-L117</f>
        <v>268850.7</v>
      </c>
    </row>
    <row r="118" customFormat="false" ht="15.75" hidden="false" customHeight="true" outlineLevel="0" collapsed="false">
      <c r="A118" s="7" t="s">
        <v>181</v>
      </c>
      <c r="B118" s="8" t="s">
        <v>165</v>
      </c>
      <c r="C118" s="8" t="s">
        <v>125</v>
      </c>
      <c r="D118" s="8" t="s">
        <v>22</v>
      </c>
      <c r="E118" s="7" t="s">
        <v>44</v>
      </c>
      <c r="F118" s="7" t="s">
        <v>19</v>
      </c>
      <c r="G118" s="7" t="s">
        <v>45</v>
      </c>
      <c r="H118" s="8" t="n">
        <v>20</v>
      </c>
      <c r="I118" s="9" t="n">
        <v>46640.74</v>
      </c>
      <c r="J118" s="9" t="n">
        <f aca="false">H118*I118</f>
        <v>932814.8</v>
      </c>
      <c r="K118" s="10" t="n">
        <v>0</v>
      </c>
      <c r="L118" s="9" t="n">
        <f aca="false">J118*K118</f>
        <v>0</v>
      </c>
      <c r="M118" s="9" t="n">
        <f aca="false">J118-L118</f>
        <v>932814.8</v>
      </c>
    </row>
    <row r="119" customFormat="false" ht="15.75" hidden="false" customHeight="true" outlineLevel="0" collapsed="false">
      <c r="A119" s="3" t="s">
        <v>182</v>
      </c>
      <c r="B119" s="4" t="s">
        <v>165</v>
      </c>
      <c r="C119" s="4" t="s">
        <v>125</v>
      </c>
      <c r="D119" s="4" t="s">
        <v>22</v>
      </c>
      <c r="E119" s="3" t="s">
        <v>32</v>
      </c>
      <c r="F119" s="3" t="s">
        <v>24</v>
      </c>
      <c r="G119" s="3" t="s">
        <v>33</v>
      </c>
      <c r="H119" s="4" t="n">
        <v>10</v>
      </c>
      <c r="I119" s="5" t="n">
        <v>1110.51</v>
      </c>
      <c r="J119" s="5" t="n">
        <f aca="false">H119*I119</f>
        <v>11105.1</v>
      </c>
      <c r="K119" s="6" t="n">
        <v>0.05</v>
      </c>
      <c r="L119" s="5" t="n">
        <f aca="false">J119*K119</f>
        <v>555.255</v>
      </c>
      <c r="M119" s="5" t="n">
        <f aca="false">J119-L119</f>
        <v>10549.845</v>
      </c>
    </row>
    <row r="120" customFormat="false" ht="15.75" hidden="false" customHeight="true" outlineLevel="0" collapsed="false">
      <c r="A120" s="7" t="s">
        <v>183</v>
      </c>
      <c r="B120" s="8" t="s">
        <v>165</v>
      </c>
      <c r="C120" s="8" t="s">
        <v>125</v>
      </c>
      <c r="D120" s="8" t="s">
        <v>27</v>
      </c>
      <c r="E120" s="7" t="s">
        <v>44</v>
      </c>
      <c r="F120" s="7" t="s">
        <v>39</v>
      </c>
      <c r="G120" s="7" t="s">
        <v>62</v>
      </c>
      <c r="H120" s="8" t="n">
        <v>4</v>
      </c>
      <c r="I120" s="9" t="n">
        <v>6561.32</v>
      </c>
      <c r="J120" s="9" t="n">
        <f aca="false">H120*I120</f>
        <v>26245.28</v>
      </c>
      <c r="K120" s="10" t="n">
        <v>0</v>
      </c>
      <c r="L120" s="9" t="n">
        <f aca="false">J120*K120</f>
        <v>0</v>
      </c>
      <c r="M120" s="9" t="n">
        <f aca="false">J120-L120</f>
        <v>26245.28</v>
      </c>
    </row>
    <row r="121" customFormat="false" ht="15.75" hidden="false" customHeight="true" outlineLevel="0" collapsed="false">
      <c r="A121" s="3" t="s">
        <v>184</v>
      </c>
      <c r="B121" s="4" t="s">
        <v>165</v>
      </c>
      <c r="C121" s="4" t="s">
        <v>125</v>
      </c>
      <c r="D121" s="4" t="s">
        <v>27</v>
      </c>
      <c r="E121" s="3" t="s">
        <v>58</v>
      </c>
      <c r="F121" s="3" t="s">
        <v>51</v>
      </c>
      <c r="G121" s="3" t="s">
        <v>52</v>
      </c>
      <c r="H121" s="4" t="n">
        <v>8</v>
      </c>
      <c r="I121" s="5" t="n">
        <v>2097.63</v>
      </c>
      <c r="J121" s="5" t="n">
        <f aca="false">H121*I121</f>
        <v>16781.04</v>
      </c>
      <c r="K121" s="6" t="n">
        <v>0</v>
      </c>
      <c r="L121" s="5" t="n">
        <f aca="false">J121*K121</f>
        <v>0</v>
      </c>
      <c r="M121" s="5" t="n">
        <f aca="false">J121-L121</f>
        <v>16781.04</v>
      </c>
    </row>
    <row r="122" customFormat="false" ht="15.75" hidden="false" customHeight="true" outlineLevel="0" collapsed="false">
      <c r="A122" s="7" t="s">
        <v>185</v>
      </c>
      <c r="B122" s="8" t="s">
        <v>165</v>
      </c>
      <c r="C122" s="8" t="s">
        <v>125</v>
      </c>
      <c r="D122" s="8" t="s">
        <v>22</v>
      </c>
      <c r="E122" s="7" t="s">
        <v>32</v>
      </c>
      <c r="F122" s="7" t="s">
        <v>51</v>
      </c>
      <c r="G122" s="7" t="s">
        <v>83</v>
      </c>
      <c r="H122" s="8" t="n">
        <v>20</v>
      </c>
      <c r="I122" s="9" t="n">
        <v>2689.82</v>
      </c>
      <c r="J122" s="9" t="n">
        <f aca="false">H122*I122</f>
        <v>53796.4</v>
      </c>
      <c r="K122" s="10" t="n">
        <v>0</v>
      </c>
      <c r="L122" s="9" t="n">
        <f aca="false">J122*K122</f>
        <v>0</v>
      </c>
      <c r="M122" s="9" t="n">
        <f aca="false">J122-L122</f>
        <v>53796.4</v>
      </c>
    </row>
    <row r="123" customFormat="false" ht="15.75" hidden="false" customHeight="true" outlineLevel="0" collapsed="false">
      <c r="A123" s="3" t="s">
        <v>186</v>
      </c>
      <c r="B123" s="4" t="s">
        <v>165</v>
      </c>
      <c r="C123" s="4" t="s">
        <v>125</v>
      </c>
      <c r="D123" s="4" t="s">
        <v>17</v>
      </c>
      <c r="E123" s="3" t="s">
        <v>32</v>
      </c>
      <c r="F123" s="3" t="s">
        <v>51</v>
      </c>
      <c r="G123" s="3" t="s">
        <v>52</v>
      </c>
      <c r="H123" s="4" t="n">
        <v>3</v>
      </c>
      <c r="I123" s="5" t="n">
        <v>3124.77</v>
      </c>
      <c r="J123" s="5" t="n">
        <f aca="false">H123*I123</f>
        <v>9374.31</v>
      </c>
      <c r="K123" s="6" t="n">
        <v>0</v>
      </c>
      <c r="L123" s="5" t="n">
        <f aca="false">J123*K123</f>
        <v>0</v>
      </c>
      <c r="M123" s="5" t="n">
        <f aca="false">J123-L123</f>
        <v>9374.31</v>
      </c>
    </row>
    <row r="124" customFormat="false" ht="15.75" hidden="false" customHeight="true" outlineLevel="0" collapsed="false">
      <c r="A124" s="7" t="s">
        <v>187</v>
      </c>
      <c r="B124" s="8" t="s">
        <v>165</v>
      </c>
      <c r="C124" s="8" t="s">
        <v>125</v>
      </c>
      <c r="D124" s="8" t="s">
        <v>22</v>
      </c>
      <c r="E124" s="7" t="s">
        <v>67</v>
      </c>
      <c r="F124" s="7" t="s">
        <v>24</v>
      </c>
      <c r="G124" s="7" t="s">
        <v>106</v>
      </c>
      <c r="H124" s="8" t="n">
        <v>18</v>
      </c>
      <c r="I124" s="9" t="n">
        <v>703.88</v>
      </c>
      <c r="J124" s="9" t="n">
        <f aca="false">H124*I124</f>
        <v>12669.84</v>
      </c>
      <c r="K124" s="10" t="n">
        <v>0</v>
      </c>
      <c r="L124" s="9" t="n">
        <f aca="false">J124*K124</f>
        <v>0</v>
      </c>
      <c r="M124" s="9" t="n">
        <f aca="false">J124-L124</f>
        <v>12669.84</v>
      </c>
    </row>
    <row r="125" customFormat="false" ht="15.75" hidden="false" customHeight="true" outlineLevel="0" collapsed="false">
      <c r="A125" s="3" t="s">
        <v>188</v>
      </c>
      <c r="B125" s="4" t="s">
        <v>165</v>
      </c>
      <c r="C125" s="4" t="s">
        <v>125</v>
      </c>
      <c r="D125" s="4" t="s">
        <v>27</v>
      </c>
      <c r="E125" s="3" t="s">
        <v>23</v>
      </c>
      <c r="F125" s="3" t="s">
        <v>39</v>
      </c>
      <c r="G125" s="3" t="s">
        <v>73</v>
      </c>
      <c r="H125" s="4" t="n">
        <v>6</v>
      </c>
      <c r="I125" s="5" t="n">
        <v>6003.46</v>
      </c>
      <c r="J125" s="5" t="n">
        <f aca="false">H125*I125</f>
        <v>36020.76</v>
      </c>
      <c r="K125" s="6" t="n">
        <v>0.1</v>
      </c>
      <c r="L125" s="5" t="n">
        <f aca="false">J125*K125</f>
        <v>3602.076</v>
      </c>
      <c r="M125" s="5" t="n">
        <f aca="false">J125-L125</f>
        <v>32418.684</v>
      </c>
    </row>
    <row r="126" customFormat="false" ht="15.75" hidden="false" customHeight="true" outlineLevel="0" collapsed="false">
      <c r="A126" s="7" t="s">
        <v>189</v>
      </c>
      <c r="B126" s="8" t="s">
        <v>190</v>
      </c>
      <c r="C126" s="8" t="s">
        <v>191</v>
      </c>
      <c r="D126" s="8" t="s">
        <v>27</v>
      </c>
      <c r="E126" s="7" t="s">
        <v>32</v>
      </c>
      <c r="F126" s="7" t="s">
        <v>39</v>
      </c>
      <c r="G126" s="7" t="s">
        <v>103</v>
      </c>
      <c r="H126" s="8" t="n">
        <v>10</v>
      </c>
      <c r="I126" s="9" t="n">
        <v>5669.04</v>
      </c>
      <c r="J126" s="9" t="n">
        <f aca="false">H126*I126</f>
        <v>56690.4</v>
      </c>
      <c r="K126" s="10" t="n">
        <v>0</v>
      </c>
      <c r="L126" s="9" t="n">
        <f aca="false">J126*K126</f>
        <v>0</v>
      </c>
      <c r="M126" s="9" t="n">
        <f aca="false">J126-L126</f>
        <v>56690.4</v>
      </c>
    </row>
    <row r="127" customFormat="false" ht="15.75" hidden="false" customHeight="true" outlineLevel="0" collapsed="false">
      <c r="A127" s="3" t="s">
        <v>192</v>
      </c>
      <c r="B127" s="4" t="s">
        <v>190</v>
      </c>
      <c r="C127" s="4" t="s">
        <v>191</v>
      </c>
      <c r="D127" s="4" t="s">
        <v>22</v>
      </c>
      <c r="E127" s="3" t="s">
        <v>32</v>
      </c>
      <c r="F127" s="3" t="s">
        <v>24</v>
      </c>
      <c r="G127" s="3" t="s">
        <v>29</v>
      </c>
      <c r="H127" s="4" t="n">
        <v>3</v>
      </c>
      <c r="I127" s="5" t="n">
        <v>942.74</v>
      </c>
      <c r="J127" s="5" t="n">
        <f aca="false">H127*I127</f>
        <v>2828.22</v>
      </c>
      <c r="K127" s="6" t="n">
        <v>0.05</v>
      </c>
      <c r="L127" s="5" t="n">
        <f aca="false">J127*K127</f>
        <v>141.411</v>
      </c>
      <c r="M127" s="5" t="n">
        <f aca="false">J127-L127</f>
        <v>2686.809</v>
      </c>
    </row>
    <row r="128" customFormat="false" ht="15.75" hidden="false" customHeight="true" outlineLevel="0" collapsed="false">
      <c r="A128" s="7" t="s">
        <v>193</v>
      </c>
      <c r="B128" s="8" t="s">
        <v>190</v>
      </c>
      <c r="C128" s="8" t="s">
        <v>191</v>
      </c>
      <c r="D128" s="8" t="s">
        <v>17</v>
      </c>
      <c r="E128" s="7" t="s">
        <v>23</v>
      </c>
      <c r="F128" s="7" t="s">
        <v>39</v>
      </c>
      <c r="G128" s="7" t="s">
        <v>62</v>
      </c>
      <c r="H128" s="8" t="n">
        <v>3</v>
      </c>
      <c r="I128" s="9" t="n">
        <v>3974.13</v>
      </c>
      <c r="J128" s="9" t="n">
        <f aca="false">H128*I128</f>
        <v>11922.39</v>
      </c>
      <c r="K128" s="10" t="n">
        <v>0.15</v>
      </c>
      <c r="L128" s="9" t="n">
        <f aca="false">J128*K128</f>
        <v>1788.3585</v>
      </c>
      <c r="M128" s="9" t="n">
        <f aca="false">J128-L128</f>
        <v>10134.0315</v>
      </c>
    </row>
    <row r="129" customFormat="false" ht="15.75" hidden="false" customHeight="true" outlineLevel="0" collapsed="false">
      <c r="A129" s="3" t="s">
        <v>194</v>
      </c>
      <c r="B129" s="4" t="s">
        <v>190</v>
      </c>
      <c r="C129" s="4" t="s">
        <v>191</v>
      </c>
      <c r="D129" s="4" t="s">
        <v>27</v>
      </c>
      <c r="E129" s="3" t="s">
        <v>47</v>
      </c>
      <c r="F129" s="3" t="s">
        <v>24</v>
      </c>
      <c r="G129" s="3" t="s">
        <v>29</v>
      </c>
      <c r="H129" s="4" t="n">
        <v>19</v>
      </c>
      <c r="I129" s="5" t="n">
        <v>585.75</v>
      </c>
      <c r="J129" s="5" t="n">
        <f aca="false">H129*I129</f>
        <v>11129.25</v>
      </c>
      <c r="K129" s="6" t="n">
        <v>0.2</v>
      </c>
      <c r="L129" s="5" t="n">
        <f aca="false">J129*K129</f>
        <v>2225.85</v>
      </c>
      <c r="M129" s="5" t="n">
        <f aca="false">J129-L129</f>
        <v>8903.4</v>
      </c>
    </row>
    <row r="130" customFormat="false" ht="15.75" hidden="false" customHeight="true" outlineLevel="0" collapsed="false">
      <c r="A130" s="7" t="s">
        <v>195</v>
      </c>
      <c r="B130" s="8" t="s">
        <v>190</v>
      </c>
      <c r="C130" s="8" t="s">
        <v>191</v>
      </c>
      <c r="D130" s="8" t="s">
        <v>22</v>
      </c>
      <c r="E130" s="7" t="s">
        <v>47</v>
      </c>
      <c r="F130" s="7" t="s">
        <v>51</v>
      </c>
      <c r="G130" s="7" t="s">
        <v>54</v>
      </c>
      <c r="H130" s="8" t="n">
        <v>6</v>
      </c>
      <c r="I130" s="9" t="n">
        <v>3743.89</v>
      </c>
      <c r="J130" s="9" t="n">
        <f aca="false">H130*I130</f>
        <v>22463.34</v>
      </c>
      <c r="K130" s="10" t="n">
        <v>0.05</v>
      </c>
      <c r="L130" s="9" t="n">
        <f aca="false">J130*K130</f>
        <v>1123.167</v>
      </c>
      <c r="M130" s="9" t="n">
        <f aca="false">J130-L130</f>
        <v>21340.173</v>
      </c>
    </row>
    <row r="131" customFormat="false" ht="15.75" hidden="false" customHeight="true" outlineLevel="0" collapsed="false">
      <c r="A131" s="3" t="s">
        <v>196</v>
      </c>
      <c r="B131" s="4" t="s">
        <v>190</v>
      </c>
      <c r="C131" s="4" t="s">
        <v>191</v>
      </c>
      <c r="D131" s="4" t="s">
        <v>22</v>
      </c>
      <c r="E131" s="3" t="s">
        <v>35</v>
      </c>
      <c r="F131" s="3" t="s">
        <v>59</v>
      </c>
      <c r="G131" s="3" t="s">
        <v>75</v>
      </c>
      <c r="H131" s="4" t="n">
        <v>14</v>
      </c>
      <c r="I131" s="5" t="n">
        <v>1159.98</v>
      </c>
      <c r="J131" s="5" t="n">
        <f aca="false">H131*I131</f>
        <v>16239.72</v>
      </c>
      <c r="K131" s="6" t="n">
        <v>0.15</v>
      </c>
      <c r="L131" s="5" t="n">
        <f aca="false">J131*K131</f>
        <v>2435.958</v>
      </c>
      <c r="M131" s="5" t="n">
        <f aca="false">J131-L131</f>
        <v>13803.762</v>
      </c>
    </row>
    <row r="132" customFormat="false" ht="15.75" hidden="false" customHeight="true" outlineLevel="0" collapsed="false">
      <c r="A132" s="7" t="s">
        <v>197</v>
      </c>
      <c r="B132" s="8" t="s">
        <v>190</v>
      </c>
      <c r="C132" s="8" t="s">
        <v>191</v>
      </c>
      <c r="D132" s="8" t="s">
        <v>17</v>
      </c>
      <c r="E132" s="7" t="s">
        <v>38</v>
      </c>
      <c r="F132" s="7" t="s">
        <v>19</v>
      </c>
      <c r="G132" s="7" t="s">
        <v>36</v>
      </c>
      <c r="H132" s="8" t="n">
        <v>16</v>
      </c>
      <c r="I132" s="9" t="n">
        <v>32570.1</v>
      </c>
      <c r="J132" s="9" t="n">
        <f aca="false">H132*I132</f>
        <v>521121.6</v>
      </c>
      <c r="K132" s="10" t="n">
        <v>0.05</v>
      </c>
      <c r="L132" s="9" t="n">
        <f aca="false">J132*K132</f>
        <v>26056.08</v>
      </c>
      <c r="M132" s="9" t="n">
        <f aca="false">J132-L132</f>
        <v>495065.52</v>
      </c>
    </row>
    <row r="133" customFormat="false" ht="15.75" hidden="false" customHeight="true" outlineLevel="0" collapsed="false">
      <c r="A133" s="3" t="s">
        <v>198</v>
      </c>
      <c r="B133" s="4" t="s">
        <v>190</v>
      </c>
      <c r="C133" s="4" t="s">
        <v>191</v>
      </c>
      <c r="D133" s="4" t="s">
        <v>22</v>
      </c>
      <c r="E133" s="3" t="s">
        <v>67</v>
      </c>
      <c r="F133" s="3" t="s">
        <v>24</v>
      </c>
      <c r="G133" s="3" t="s">
        <v>25</v>
      </c>
      <c r="H133" s="4" t="n">
        <v>11</v>
      </c>
      <c r="I133" s="5" t="n">
        <v>721.54</v>
      </c>
      <c r="J133" s="5" t="n">
        <f aca="false">H133*I133</f>
        <v>7936.94</v>
      </c>
      <c r="K133" s="6" t="n">
        <v>0</v>
      </c>
      <c r="L133" s="5" t="n">
        <f aca="false">J133*K133</f>
        <v>0</v>
      </c>
      <c r="M133" s="5" t="n">
        <f aca="false">J133-L133</f>
        <v>7936.94</v>
      </c>
    </row>
    <row r="134" customFormat="false" ht="15.75" hidden="false" customHeight="true" outlineLevel="0" collapsed="false">
      <c r="A134" s="7" t="s">
        <v>199</v>
      </c>
      <c r="B134" s="8" t="s">
        <v>190</v>
      </c>
      <c r="C134" s="8" t="s">
        <v>191</v>
      </c>
      <c r="D134" s="8" t="s">
        <v>27</v>
      </c>
      <c r="E134" s="7" t="s">
        <v>28</v>
      </c>
      <c r="F134" s="7" t="s">
        <v>59</v>
      </c>
      <c r="G134" s="7" t="s">
        <v>65</v>
      </c>
      <c r="H134" s="8" t="n">
        <v>15</v>
      </c>
      <c r="I134" s="9" t="n">
        <v>1236.72</v>
      </c>
      <c r="J134" s="9" t="n">
        <f aca="false">H134*I134</f>
        <v>18550.8</v>
      </c>
      <c r="K134" s="10" t="n">
        <v>0</v>
      </c>
      <c r="L134" s="9" t="n">
        <f aca="false">J134*K134</f>
        <v>0</v>
      </c>
      <c r="M134" s="9" t="n">
        <f aca="false">J134-L134</f>
        <v>18550.8</v>
      </c>
    </row>
    <row r="135" customFormat="false" ht="15.75" hidden="false" customHeight="true" outlineLevel="0" collapsed="false">
      <c r="A135" s="3" t="s">
        <v>200</v>
      </c>
      <c r="B135" s="4" t="s">
        <v>190</v>
      </c>
      <c r="C135" s="4" t="s">
        <v>191</v>
      </c>
      <c r="D135" s="4" t="s">
        <v>22</v>
      </c>
      <c r="E135" s="3" t="s">
        <v>32</v>
      </c>
      <c r="F135" s="3" t="s">
        <v>24</v>
      </c>
      <c r="G135" s="3" t="s">
        <v>42</v>
      </c>
      <c r="H135" s="4" t="n">
        <v>2</v>
      </c>
      <c r="I135" s="5" t="n">
        <v>690.28</v>
      </c>
      <c r="J135" s="5" t="n">
        <f aca="false">H135*I135</f>
        <v>1380.56</v>
      </c>
      <c r="K135" s="6" t="n">
        <v>0.1</v>
      </c>
      <c r="L135" s="5" t="n">
        <f aca="false">J135*K135</f>
        <v>138.056</v>
      </c>
      <c r="M135" s="5" t="n">
        <f aca="false">J135-L135</f>
        <v>1242.504</v>
      </c>
    </row>
    <row r="136" customFormat="false" ht="15.75" hidden="false" customHeight="true" outlineLevel="0" collapsed="false">
      <c r="A136" s="7" t="s">
        <v>201</v>
      </c>
      <c r="B136" s="8" t="s">
        <v>190</v>
      </c>
      <c r="C136" s="8" t="s">
        <v>191</v>
      </c>
      <c r="D136" s="8" t="s">
        <v>22</v>
      </c>
      <c r="E136" s="7" t="s">
        <v>32</v>
      </c>
      <c r="F136" s="7" t="s">
        <v>51</v>
      </c>
      <c r="G136" s="7" t="s">
        <v>52</v>
      </c>
      <c r="H136" s="8" t="n">
        <v>4</v>
      </c>
      <c r="I136" s="9" t="n">
        <v>1807.74</v>
      </c>
      <c r="J136" s="9" t="n">
        <f aca="false">H136*I136</f>
        <v>7230.96</v>
      </c>
      <c r="K136" s="10" t="n">
        <v>0.15</v>
      </c>
      <c r="L136" s="9" t="n">
        <f aca="false">J136*K136</f>
        <v>1084.644</v>
      </c>
      <c r="M136" s="9" t="n">
        <f aca="false">J136-L136</f>
        <v>6146.316</v>
      </c>
    </row>
    <row r="137" customFormat="false" ht="15.75" hidden="false" customHeight="true" outlineLevel="0" collapsed="false">
      <c r="A137" s="3" t="s">
        <v>202</v>
      </c>
      <c r="B137" s="4" t="s">
        <v>190</v>
      </c>
      <c r="C137" s="4" t="s">
        <v>191</v>
      </c>
      <c r="D137" s="4" t="s">
        <v>31</v>
      </c>
      <c r="E137" s="3" t="s">
        <v>47</v>
      </c>
      <c r="F137" s="3" t="s">
        <v>24</v>
      </c>
      <c r="G137" s="3" t="s">
        <v>106</v>
      </c>
      <c r="H137" s="4" t="n">
        <v>18</v>
      </c>
      <c r="I137" s="5" t="n">
        <v>568.75</v>
      </c>
      <c r="J137" s="5" t="n">
        <f aca="false">H137*I137</f>
        <v>10237.5</v>
      </c>
      <c r="K137" s="6" t="n">
        <v>0.05</v>
      </c>
      <c r="L137" s="5" t="n">
        <f aca="false">J137*K137</f>
        <v>511.875</v>
      </c>
      <c r="M137" s="5" t="n">
        <f aca="false">J137-L137</f>
        <v>9725.625</v>
      </c>
    </row>
    <row r="138" customFormat="false" ht="15.75" hidden="false" customHeight="true" outlineLevel="0" collapsed="false">
      <c r="A138" s="7" t="s">
        <v>203</v>
      </c>
      <c r="B138" s="8" t="s">
        <v>190</v>
      </c>
      <c r="C138" s="8" t="s">
        <v>191</v>
      </c>
      <c r="D138" s="8" t="s">
        <v>27</v>
      </c>
      <c r="E138" s="7" t="s">
        <v>32</v>
      </c>
      <c r="F138" s="7" t="s">
        <v>19</v>
      </c>
      <c r="G138" s="7" t="s">
        <v>36</v>
      </c>
      <c r="H138" s="8" t="n">
        <v>4</v>
      </c>
      <c r="I138" s="9" t="n">
        <v>42635.87</v>
      </c>
      <c r="J138" s="9" t="n">
        <f aca="false">H138*I138</f>
        <v>170543.48</v>
      </c>
      <c r="K138" s="10" t="n">
        <v>0</v>
      </c>
      <c r="L138" s="9" t="n">
        <f aca="false">J138*K138</f>
        <v>0</v>
      </c>
      <c r="M138" s="9" t="n">
        <f aca="false">J138-L138</f>
        <v>170543.48</v>
      </c>
    </row>
    <row r="139" customFormat="false" ht="15.75" hidden="false" customHeight="true" outlineLevel="0" collapsed="false">
      <c r="A139" s="3" t="s">
        <v>204</v>
      </c>
      <c r="B139" s="4" t="s">
        <v>190</v>
      </c>
      <c r="C139" s="4" t="s">
        <v>191</v>
      </c>
      <c r="D139" s="4" t="s">
        <v>17</v>
      </c>
      <c r="E139" s="3" t="s">
        <v>38</v>
      </c>
      <c r="F139" s="3" t="s">
        <v>59</v>
      </c>
      <c r="G139" s="3" t="s">
        <v>95</v>
      </c>
      <c r="H139" s="4" t="n">
        <v>16</v>
      </c>
      <c r="I139" s="5" t="n">
        <v>1781.03</v>
      </c>
      <c r="J139" s="5" t="n">
        <f aca="false">H139*I139</f>
        <v>28496.48</v>
      </c>
      <c r="K139" s="6" t="n">
        <v>0</v>
      </c>
      <c r="L139" s="5" t="n">
        <f aca="false">J139*K139</f>
        <v>0</v>
      </c>
      <c r="M139" s="5" t="n">
        <f aca="false">J139-L139</f>
        <v>28496.48</v>
      </c>
    </row>
    <row r="140" customFormat="false" ht="15.75" hidden="false" customHeight="true" outlineLevel="0" collapsed="false">
      <c r="A140" s="7" t="s">
        <v>205</v>
      </c>
      <c r="B140" s="8" t="s">
        <v>190</v>
      </c>
      <c r="C140" s="8" t="s">
        <v>191</v>
      </c>
      <c r="D140" s="8" t="s">
        <v>31</v>
      </c>
      <c r="E140" s="7" t="s">
        <v>38</v>
      </c>
      <c r="F140" s="7" t="s">
        <v>59</v>
      </c>
      <c r="G140" s="7" t="s">
        <v>65</v>
      </c>
      <c r="H140" s="8" t="n">
        <v>7</v>
      </c>
      <c r="I140" s="9" t="n">
        <v>1724.99</v>
      </c>
      <c r="J140" s="9" t="n">
        <f aca="false">H140*I140</f>
        <v>12074.93</v>
      </c>
      <c r="K140" s="10" t="n">
        <v>0.1</v>
      </c>
      <c r="L140" s="9" t="n">
        <f aca="false">J140*K140</f>
        <v>1207.493</v>
      </c>
      <c r="M140" s="9" t="n">
        <f aca="false">J140-L140</f>
        <v>10867.437</v>
      </c>
    </row>
    <row r="141" customFormat="false" ht="15.75" hidden="false" customHeight="true" outlineLevel="0" collapsed="false">
      <c r="A141" s="3" t="s">
        <v>206</v>
      </c>
      <c r="B141" s="4" t="s">
        <v>190</v>
      </c>
      <c r="C141" s="4" t="s">
        <v>191</v>
      </c>
      <c r="D141" s="4" t="s">
        <v>17</v>
      </c>
      <c r="E141" s="3" t="s">
        <v>38</v>
      </c>
      <c r="F141" s="3" t="s">
        <v>51</v>
      </c>
      <c r="G141" s="3" t="s">
        <v>83</v>
      </c>
      <c r="H141" s="4" t="n">
        <v>11</v>
      </c>
      <c r="I141" s="5" t="n">
        <v>3618.5</v>
      </c>
      <c r="J141" s="5" t="n">
        <f aca="false">H141*I141</f>
        <v>39803.5</v>
      </c>
      <c r="K141" s="6" t="n">
        <v>0.1</v>
      </c>
      <c r="L141" s="5" t="n">
        <f aca="false">J141*K141</f>
        <v>3980.35</v>
      </c>
      <c r="M141" s="5" t="n">
        <f aca="false">J141-L141</f>
        <v>35823.15</v>
      </c>
    </row>
    <row r="142" customFormat="false" ht="15.75" hidden="false" customHeight="true" outlineLevel="0" collapsed="false">
      <c r="A142" s="7" t="s">
        <v>207</v>
      </c>
      <c r="B142" s="8" t="s">
        <v>190</v>
      </c>
      <c r="C142" s="8" t="s">
        <v>191</v>
      </c>
      <c r="D142" s="8" t="s">
        <v>17</v>
      </c>
      <c r="E142" s="7" t="s">
        <v>47</v>
      </c>
      <c r="F142" s="7" t="s">
        <v>39</v>
      </c>
      <c r="G142" s="7" t="s">
        <v>40</v>
      </c>
      <c r="H142" s="8" t="n">
        <v>19</v>
      </c>
      <c r="I142" s="9" t="n">
        <v>5237.72</v>
      </c>
      <c r="J142" s="9" t="n">
        <f aca="false">H142*I142</f>
        <v>99516.68</v>
      </c>
      <c r="K142" s="10" t="n">
        <v>0.15</v>
      </c>
      <c r="L142" s="9" t="n">
        <f aca="false">J142*K142</f>
        <v>14927.502</v>
      </c>
      <c r="M142" s="9" t="n">
        <f aca="false">J142-L142</f>
        <v>84589.178</v>
      </c>
    </row>
    <row r="143" customFormat="false" ht="15.75" hidden="false" customHeight="true" outlineLevel="0" collapsed="false">
      <c r="A143" s="3" t="s">
        <v>208</v>
      </c>
      <c r="B143" s="4" t="s">
        <v>190</v>
      </c>
      <c r="C143" s="4" t="s">
        <v>191</v>
      </c>
      <c r="D143" s="4" t="s">
        <v>22</v>
      </c>
      <c r="E143" s="3" t="s">
        <v>28</v>
      </c>
      <c r="F143" s="3" t="s">
        <v>59</v>
      </c>
      <c r="G143" s="3" t="s">
        <v>60</v>
      </c>
      <c r="H143" s="4" t="n">
        <v>16</v>
      </c>
      <c r="I143" s="5" t="n">
        <v>1171.32</v>
      </c>
      <c r="J143" s="5" t="n">
        <f aca="false">H143*I143</f>
        <v>18741.12</v>
      </c>
      <c r="K143" s="6" t="n">
        <v>0.1</v>
      </c>
      <c r="L143" s="5" t="n">
        <f aca="false">J143*K143</f>
        <v>1874.112</v>
      </c>
      <c r="M143" s="5" t="n">
        <f aca="false">J143-L143</f>
        <v>16867.008</v>
      </c>
    </row>
    <row r="144" customFormat="false" ht="15.75" hidden="false" customHeight="true" outlineLevel="0" collapsed="false">
      <c r="A144" s="7" t="s">
        <v>209</v>
      </c>
      <c r="B144" s="8" t="s">
        <v>190</v>
      </c>
      <c r="C144" s="8" t="s">
        <v>191</v>
      </c>
      <c r="D144" s="8" t="s">
        <v>22</v>
      </c>
      <c r="E144" s="7" t="s">
        <v>35</v>
      </c>
      <c r="F144" s="7" t="s">
        <v>24</v>
      </c>
      <c r="G144" s="7" t="s">
        <v>33</v>
      </c>
      <c r="H144" s="8" t="n">
        <v>7</v>
      </c>
      <c r="I144" s="9" t="n">
        <v>1187.7</v>
      </c>
      <c r="J144" s="9" t="n">
        <f aca="false">H144*I144</f>
        <v>8313.9</v>
      </c>
      <c r="K144" s="10" t="n">
        <v>0</v>
      </c>
      <c r="L144" s="9" t="n">
        <f aca="false">J144*K144</f>
        <v>0</v>
      </c>
      <c r="M144" s="9" t="n">
        <f aca="false">J144-L144</f>
        <v>8313.9</v>
      </c>
    </row>
    <row r="145" customFormat="false" ht="15.75" hidden="false" customHeight="true" outlineLevel="0" collapsed="false">
      <c r="A145" s="3" t="s">
        <v>210</v>
      </c>
      <c r="B145" s="4" t="s">
        <v>190</v>
      </c>
      <c r="C145" s="4" t="s">
        <v>191</v>
      </c>
      <c r="D145" s="4" t="s">
        <v>31</v>
      </c>
      <c r="E145" s="3" t="s">
        <v>38</v>
      </c>
      <c r="F145" s="3" t="s">
        <v>24</v>
      </c>
      <c r="G145" s="3" t="s">
        <v>33</v>
      </c>
      <c r="H145" s="4" t="n">
        <v>2</v>
      </c>
      <c r="I145" s="5" t="n">
        <v>763.63</v>
      </c>
      <c r="J145" s="5" t="n">
        <f aca="false">H145*I145</f>
        <v>1527.26</v>
      </c>
      <c r="K145" s="6" t="n">
        <v>0.05</v>
      </c>
      <c r="L145" s="5" t="n">
        <f aca="false">J145*K145</f>
        <v>76.363</v>
      </c>
      <c r="M145" s="5" t="n">
        <f aca="false">J145-L145</f>
        <v>1450.897</v>
      </c>
    </row>
    <row r="146" customFormat="false" ht="15.75" hidden="false" customHeight="true" outlineLevel="0" collapsed="false">
      <c r="A146" s="7" t="s">
        <v>211</v>
      </c>
      <c r="B146" s="8" t="s">
        <v>190</v>
      </c>
      <c r="C146" s="8" t="s">
        <v>191</v>
      </c>
      <c r="D146" s="8" t="s">
        <v>31</v>
      </c>
      <c r="E146" s="7" t="s">
        <v>32</v>
      </c>
      <c r="F146" s="7" t="s">
        <v>59</v>
      </c>
      <c r="G146" s="7" t="s">
        <v>86</v>
      </c>
      <c r="H146" s="8" t="n">
        <v>2</v>
      </c>
      <c r="I146" s="9" t="n">
        <v>961.2</v>
      </c>
      <c r="J146" s="9" t="n">
        <f aca="false">H146*I146</f>
        <v>1922.4</v>
      </c>
      <c r="K146" s="10" t="n">
        <v>0.1</v>
      </c>
      <c r="L146" s="9" t="n">
        <f aca="false">J146*K146</f>
        <v>192.24</v>
      </c>
      <c r="M146" s="9" t="n">
        <f aca="false">J146-L146</f>
        <v>1730.16</v>
      </c>
    </row>
    <row r="147" customFormat="false" ht="15.75" hidden="false" customHeight="true" outlineLevel="0" collapsed="false">
      <c r="A147" s="3" t="s">
        <v>212</v>
      </c>
      <c r="B147" s="4" t="s">
        <v>190</v>
      </c>
      <c r="C147" s="4" t="s">
        <v>191</v>
      </c>
      <c r="D147" s="4" t="s">
        <v>22</v>
      </c>
      <c r="E147" s="3" t="s">
        <v>67</v>
      </c>
      <c r="F147" s="3" t="s">
        <v>39</v>
      </c>
      <c r="G147" s="3" t="s">
        <v>40</v>
      </c>
      <c r="H147" s="4" t="n">
        <v>17</v>
      </c>
      <c r="I147" s="5" t="n">
        <v>6427.59</v>
      </c>
      <c r="J147" s="5" t="n">
        <f aca="false">H147*I147</f>
        <v>109269.03</v>
      </c>
      <c r="K147" s="6" t="n">
        <v>0</v>
      </c>
      <c r="L147" s="5" t="n">
        <f aca="false">J147*K147</f>
        <v>0</v>
      </c>
      <c r="M147" s="5" t="n">
        <f aca="false">J147-L147</f>
        <v>109269.03</v>
      </c>
    </row>
    <row r="148" customFormat="false" ht="15.75" hidden="false" customHeight="true" outlineLevel="0" collapsed="false">
      <c r="A148" s="7" t="s">
        <v>213</v>
      </c>
      <c r="B148" s="8" t="s">
        <v>190</v>
      </c>
      <c r="C148" s="8" t="s">
        <v>191</v>
      </c>
      <c r="D148" s="8" t="s">
        <v>31</v>
      </c>
      <c r="E148" s="7" t="s">
        <v>67</v>
      </c>
      <c r="F148" s="7" t="s">
        <v>51</v>
      </c>
      <c r="G148" s="7" t="s">
        <v>54</v>
      </c>
      <c r="H148" s="8" t="n">
        <v>16</v>
      </c>
      <c r="I148" s="9" t="n">
        <v>3313.05</v>
      </c>
      <c r="J148" s="9" t="n">
        <f aca="false">H148*I148</f>
        <v>53008.8</v>
      </c>
      <c r="K148" s="10" t="n">
        <v>0</v>
      </c>
      <c r="L148" s="9" t="n">
        <f aca="false">J148*K148</f>
        <v>0</v>
      </c>
      <c r="M148" s="9" t="n">
        <f aca="false">J148-L148</f>
        <v>53008.8</v>
      </c>
    </row>
    <row r="149" customFormat="false" ht="15.75" hidden="false" customHeight="true" outlineLevel="0" collapsed="false">
      <c r="A149" s="3" t="s">
        <v>214</v>
      </c>
      <c r="B149" s="4" t="s">
        <v>190</v>
      </c>
      <c r="C149" s="4" t="s">
        <v>191</v>
      </c>
      <c r="D149" s="4" t="s">
        <v>22</v>
      </c>
      <c r="E149" s="3" t="s">
        <v>67</v>
      </c>
      <c r="F149" s="3" t="s">
        <v>39</v>
      </c>
      <c r="G149" s="3" t="s">
        <v>62</v>
      </c>
      <c r="H149" s="4" t="n">
        <v>11</v>
      </c>
      <c r="I149" s="5" t="n">
        <v>6218.43</v>
      </c>
      <c r="J149" s="5" t="n">
        <f aca="false">H149*I149</f>
        <v>68402.73</v>
      </c>
      <c r="K149" s="6" t="n">
        <v>0.2</v>
      </c>
      <c r="L149" s="5" t="n">
        <f aca="false">J149*K149</f>
        <v>13680.546</v>
      </c>
      <c r="M149" s="5" t="n">
        <f aca="false">J149-L149</f>
        <v>54722.184</v>
      </c>
    </row>
    <row r="150" customFormat="false" ht="15.75" hidden="false" customHeight="true" outlineLevel="0" collapsed="false">
      <c r="A150" s="7" t="s">
        <v>215</v>
      </c>
      <c r="B150" s="8" t="s">
        <v>216</v>
      </c>
      <c r="C150" s="8" t="s">
        <v>191</v>
      </c>
      <c r="D150" s="8" t="s">
        <v>22</v>
      </c>
      <c r="E150" s="7" t="s">
        <v>28</v>
      </c>
      <c r="F150" s="7" t="s">
        <v>59</v>
      </c>
      <c r="G150" s="7" t="s">
        <v>95</v>
      </c>
      <c r="H150" s="8" t="n">
        <v>2</v>
      </c>
      <c r="I150" s="9" t="n">
        <v>1432.76</v>
      </c>
      <c r="J150" s="9" t="n">
        <f aca="false">H150*I150</f>
        <v>2865.52</v>
      </c>
      <c r="K150" s="10" t="n">
        <v>0</v>
      </c>
      <c r="L150" s="9" t="n">
        <f aca="false">J150*K150</f>
        <v>0</v>
      </c>
      <c r="M150" s="9" t="n">
        <f aca="false">J150-L150</f>
        <v>2865.52</v>
      </c>
    </row>
    <row r="151" customFormat="false" ht="15.75" hidden="false" customHeight="true" outlineLevel="0" collapsed="false">
      <c r="A151" s="3" t="s">
        <v>217</v>
      </c>
      <c r="B151" s="4" t="s">
        <v>216</v>
      </c>
      <c r="C151" s="4" t="s">
        <v>191</v>
      </c>
      <c r="D151" s="4" t="s">
        <v>27</v>
      </c>
      <c r="E151" s="3" t="s">
        <v>38</v>
      </c>
      <c r="F151" s="3" t="s">
        <v>39</v>
      </c>
      <c r="G151" s="3" t="s">
        <v>73</v>
      </c>
      <c r="H151" s="4" t="n">
        <v>4</v>
      </c>
      <c r="I151" s="5" t="n">
        <v>5887.33</v>
      </c>
      <c r="J151" s="5" t="n">
        <f aca="false">H151*I151</f>
        <v>23549.32</v>
      </c>
      <c r="K151" s="6" t="n">
        <v>0.15</v>
      </c>
      <c r="L151" s="5" t="n">
        <f aca="false">J151*K151</f>
        <v>3532.398</v>
      </c>
      <c r="M151" s="5" t="n">
        <f aca="false">J151-L151</f>
        <v>20016.922</v>
      </c>
    </row>
    <row r="152" customFormat="false" ht="15.75" hidden="false" customHeight="true" outlineLevel="0" collapsed="false">
      <c r="A152" s="7" t="s">
        <v>218</v>
      </c>
      <c r="B152" s="8" t="s">
        <v>216</v>
      </c>
      <c r="C152" s="8" t="s">
        <v>191</v>
      </c>
      <c r="D152" s="8" t="s">
        <v>31</v>
      </c>
      <c r="E152" s="7" t="s">
        <v>47</v>
      </c>
      <c r="F152" s="7" t="s">
        <v>19</v>
      </c>
      <c r="G152" s="7" t="s">
        <v>49</v>
      </c>
      <c r="H152" s="8" t="n">
        <v>1</v>
      </c>
      <c r="I152" s="9" t="n">
        <v>25787.75</v>
      </c>
      <c r="J152" s="9" t="n">
        <f aca="false">H152*I152</f>
        <v>25787.75</v>
      </c>
      <c r="K152" s="10" t="n">
        <v>0.2</v>
      </c>
      <c r="L152" s="9" t="n">
        <f aca="false">J152*K152</f>
        <v>5157.55</v>
      </c>
      <c r="M152" s="9" t="n">
        <f aca="false">J152-L152</f>
        <v>20630.2</v>
      </c>
    </row>
    <row r="153" customFormat="false" ht="15.75" hidden="false" customHeight="true" outlineLevel="0" collapsed="false">
      <c r="A153" s="3" t="s">
        <v>219</v>
      </c>
      <c r="B153" s="4" t="s">
        <v>216</v>
      </c>
      <c r="C153" s="4" t="s">
        <v>191</v>
      </c>
      <c r="D153" s="4" t="s">
        <v>17</v>
      </c>
      <c r="E153" s="3" t="s">
        <v>35</v>
      </c>
      <c r="F153" s="3" t="s">
        <v>19</v>
      </c>
      <c r="G153" s="3" t="s">
        <v>155</v>
      </c>
      <c r="H153" s="4" t="n">
        <v>14</v>
      </c>
      <c r="I153" s="5" t="n">
        <v>28575.95</v>
      </c>
      <c r="J153" s="5" t="n">
        <f aca="false">H153*I153</f>
        <v>400063.3</v>
      </c>
      <c r="K153" s="6" t="n">
        <v>0.1</v>
      </c>
      <c r="L153" s="5" t="n">
        <f aca="false">J153*K153</f>
        <v>40006.33</v>
      </c>
      <c r="M153" s="5" t="n">
        <f aca="false">J153-L153</f>
        <v>360056.97</v>
      </c>
    </row>
    <row r="154" customFormat="false" ht="15.75" hidden="false" customHeight="true" outlineLevel="0" collapsed="false">
      <c r="A154" s="7" t="s">
        <v>220</v>
      </c>
      <c r="B154" s="8" t="s">
        <v>216</v>
      </c>
      <c r="C154" s="8" t="s">
        <v>191</v>
      </c>
      <c r="D154" s="8" t="s">
        <v>31</v>
      </c>
      <c r="E154" s="7" t="s">
        <v>58</v>
      </c>
      <c r="F154" s="7" t="s">
        <v>59</v>
      </c>
      <c r="G154" s="7" t="s">
        <v>65</v>
      </c>
      <c r="H154" s="8" t="n">
        <v>6</v>
      </c>
      <c r="I154" s="9" t="n">
        <v>915.81</v>
      </c>
      <c r="J154" s="9" t="n">
        <f aca="false">H154*I154</f>
        <v>5494.86</v>
      </c>
      <c r="K154" s="10" t="n">
        <v>0.2</v>
      </c>
      <c r="L154" s="9" t="n">
        <f aca="false">J154*K154</f>
        <v>1098.972</v>
      </c>
      <c r="M154" s="9" t="n">
        <f aca="false">J154-L154</f>
        <v>4395.888</v>
      </c>
    </row>
    <row r="155" customFormat="false" ht="15.75" hidden="false" customHeight="true" outlineLevel="0" collapsed="false">
      <c r="A155" s="3" t="s">
        <v>221</v>
      </c>
      <c r="B155" s="4" t="s">
        <v>216</v>
      </c>
      <c r="C155" s="4" t="s">
        <v>191</v>
      </c>
      <c r="D155" s="4" t="s">
        <v>31</v>
      </c>
      <c r="E155" s="3" t="s">
        <v>32</v>
      </c>
      <c r="F155" s="3" t="s">
        <v>59</v>
      </c>
      <c r="G155" s="3" t="s">
        <v>65</v>
      </c>
      <c r="H155" s="4" t="n">
        <v>19</v>
      </c>
      <c r="I155" s="5" t="n">
        <v>977.39</v>
      </c>
      <c r="J155" s="5" t="n">
        <f aca="false">H155*I155</f>
        <v>18570.41</v>
      </c>
      <c r="K155" s="6" t="n">
        <v>0.05</v>
      </c>
      <c r="L155" s="5" t="n">
        <f aca="false">J155*K155</f>
        <v>928.5205</v>
      </c>
      <c r="M155" s="5" t="n">
        <f aca="false">J155-L155</f>
        <v>17641.8895</v>
      </c>
    </row>
    <row r="156" customFormat="false" ht="15.75" hidden="false" customHeight="true" outlineLevel="0" collapsed="false">
      <c r="A156" s="7" t="s">
        <v>222</v>
      </c>
      <c r="B156" s="8" t="s">
        <v>216</v>
      </c>
      <c r="C156" s="8" t="s">
        <v>191</v>
      </c>
      <c r="D156" s="8" t="s">
        <v>17</v>
      </c>
      <c r="E156" s="7" t="s">
        <v>23</v>
      </c>
      <c r="F156" s="7" t="s">
        <v>39</v>
      </c>
      <c r="G156" s="7" t="s">
        <v>103</v>
      </c>
      <c r="H156" s="8" t="n">
        <v>15</v>
      </c>
      <c r="I156" s="9" t="n">
        <v>6394.35</v>
      </c>
      <c r="J156" s="9" t="n">
        <f aca="false">H156*I156</f>
        <v>95915.25</v>
      </c>
      <c r="K156" s="10" t="n">
        <v>0.15</v>
      </c>
      <c r="L156" s="9" t="n">
        <f aca="false">J156*K156</f>
        <v>14387.2875</v>
      </c>
      <c r="M156" s="9" t="n">
        <f aca="false">J156-L156</f>
        <v>81527.9625</v>
      </c>
    </row>
    <row r="157" customFormat="false" ht="15.75" hidden="false" customHeight="true" outlineLevel="0" collapsed="false">
      <c r="A157" s="3" t="s">
        <v>223</v>
      </c>
      <c r="B157" s="4" t="s">
        <v>216</v>
      </c>
      <c r="C157" s="4" t="s">
        <v>191</v>
      </c>
      <c r="D157" s="4" t="s">
        <v>27</v>
      </c>
      <c r="E157" s="3" t="s">
        <v>32</v>
      </c>
      <c r="F157" s="3" t="s">
        <v>24</v>
      </c>
      <c r="G157" s="3" t="s">
        <v>106</v>
      </c>
      <c r="H157" s="4" t="n">
        <v>12</v>
      </c>
      <c r="I157" s="5" t="n">
        <v>1192.1</v>
      </c>
      <c r="J157" s="5" t="n">
        <f aca="false">H157*I157</f>
        <v>14305.2</v>
      </c>
      <c r="K157" s="6" t="n">
        <v>0</v>
      </c>
      <c r="L157" s="5" t="n">
        <f aca="false">J157*K157</f>
        <v>0</v>
      </c>
      <c r="M157" s="5" t="n">
        <f aca="false">J157-L157</f>
        <v>14305.2</v>
      </c>
    </row>
    <row r="158" customFormat="false" ht="15.75" hidden="false" customHeight="true" outlineLevel="0" collapsed="false">
      <c r="A158" s="7" t="s">
        <v>224</v>
      </c>
      <c r="B158" s="8" t="s">
        <v>216</v>
      </c>
      <c r="C158" s="8" t="s">
        <v>191</v>
      </c>
      <c r="D158" s="8" t="s">
        <v>22</v>
      </c>
      <c r="E158" s="7" t="s">
        <v>47</v>
      </c>
      <c r="F158" s="7" t="s">
        <v>59</v>
      </c>
      <c r="G158" s="7" t="s">
        <v>95</v>
      </c>
      <c r="H158" s="8" t="n">
        <v>7</v>
      </c>
      <c r="I158" s="9" t="n">
        <v>1799.4</v>
      </c>
      <c r="J158" s="9" t="n">
        <f aca="false">H158*I158</f>
        <v>12595.8</v>
      </c>
      <c r="K158" s="10" t="n">
        <v>0.2</v>
      </c>
      <c r="L158" s="9" t="n">
        <f aca="false">J158*K158</f>
        <v>2519.16</v>
      </c>
      <c r="M158" s="9" t="n">
        <f aca="false">J158-L158</f>
        <v>10076.64</v>
      </c>
    </row>
    <row r="159" customFormat="false" ht="15.75" hidden="false" customHeight="true" outlineLevel="0" collapsed="false">
      <c r="A159" s="3" t="s">
        <v>225</v>
      </c>
      <c r="B159" s="4" t="s">
        <v>216</v>
      </c>
      <c r="C159" s="4" t="s">
        <v>191</v>
      </c>
      <c r="D159" s="4" t="s">
        <v>31</v>
      </c>
      <c r="E159" s="3" t="s">
        <v>38</v>
      </c>
      <c r="F159" s="3" t="s">
        <v>59</v>
      </c>
      <c r="G159" s="3" t="s">
        <v>75</v>
      </c>
      <c r="H159" s="4" t="n">
        <v>19</v>
      </c>
      <c r="I159" s="5" t="n">
        <v>1184.6</v>
      </c>
      <c r="J159" s="5" t="n">
        <f aca="false">H159*I159</f>
        <v>22507.4</v>
      </c>
      <c r="K159" s="6" t="n">
        <v>0</v>
      </c>
      <c r="L159" s="5" t="n">
        <f aca="false">J159*K159</f>
        <v>0</v>
      </c>
      <c r="M159" s="5" t="n">
        <f aca="false">J159-L159</f>
        <v>22507.4</v>
      </c>
    </row>
    <row r="160" customFormat="false" ht="15.75" hidden="false" customHeight="true" outlineLevel="0" collapsed="false">
      <c r="A160" s="7" t="s">
        <v>226</v>
      </c>
      <c r="B160" s="8" t="s">
        <v>216</v>
      </c>
      <c r="C160" s="8" t="s">
        <v>191</v>
      </c>
      <c r="D160" s="8" t="s">
        <v>22</v>
      </c>
      <c r="E160" s="7" t="s">
        <v>47</v>
      </c>
      <c r="F160" s="7" t="s">
        <v>39</v>
      </c>
      <c r="G160" s="7" t="s">
        <v>40</v>
      </c>
      <c r="H160" s="8" t="n">
        <v>1</v>
      </c>
      <c r="I160" s="9" t="n">
        <v>5187.34</v>
      </c>
      <c r="J160" s="9" t="n">
        <f aca="false">H160*I160</f>
        <v>5187.34</v>
      </c>
      <c r="K160" s="10" t="n">
        <v>0.15</v>
      </c>
      <c r="L160" s="9" t="n">
        <f aca="false">J160*K160</f>
        <v>778.101</v>
      </c>
      <c r="M160" s="9" t="n">
        <f aca="false">J160-L160</f>
        <v>4409.239</v>
      </c>
    </row>
    <row r="161" customFormat="false" ht="15.75" hidden="false" customHeight="true" outlineLevel="0" collapsed="false">
      <c r="A161" s="3" t="s">
        <v>227</v>
      </c>
      <c r="B161" s="4" t="s">
        <v>216</v>
      </c>
      <c r="C161" s="4" t="s">
        <v>191</v>
      </c>
      <c r="D161" s="4" t="s">
        <v>22</v>
      </c>
      <c r="E161" s="3" t="s">
        <v>47</v>
      </c>
      <c r="F161" s="3" t="s">
        <v>19</v>
      </c>
      <c r="G161" s="3" t="s">
        <v>45</v>
      </c>
      <c r="H161" s="4" t="n">
        <v>8</v>
      </c>
      <c r="I161" s="5" t="n">
        <v>41497.82</v>
      </c>
      <c r="J161" s="5" t="n">
        <f aca="false">H161*I161</f>
        <v>331982.56</v>
      </c>
      <c r="K161" s="6" t="n">
        <v>0</v>
      </c>
      <c r="L161" s="5" t="n">
        <f aca="false">J161*K161</f>
        <v>0</v>
      </c>
      <c r="M161" s="5" t="n">
        <f aca="false">J161-L161</f>
        <v>331982.56</v>
      </c>
    </row>
    <row r="162" customFormat="false" ht="15.75" hidden="false" customHeight="true" outlineLevel="0" collapsed="false">
      <c r="A162" s="7" t="s">
        <v>228</v>
      </c>
      <c r="B162" s="8" t="s">
        <v>216</v>
      </c>
      <c r="C162" s="8" t="s">
        <v>191</v>
      </c>
      <c r="D162" s="8" t="s">
        <v>17</v>
      </c>
      <c r="E162" s="7" t="s">
        <v>58</v>
      </c>
      <c r="F162" s="7" t="s">
        <v>51</v>
      </c>
      <c r="G162" s="7" t="s">
        <v>92</v>
      </c>
      <c r="H162" s="8" t="n">
        <v>4</v>
      </c>
      <c r="I162" s="9" t="n">
        <v>3556.81</v>
      </c>
      <c r="J162" s="9" t="n">
        <f aca="false">H162*I162</f>
        <v>14227.24</v>
      </c>
      <c r="K162" s="10" t="n">
        <v>0.15</v>
      </c>
      <c r="L162" s="9" t="n">
        <f aca="false">J162*K162</f>
        <v>2134.086</v>
      </c>
      <c r="M162" s="9" t="n">
        <f aca="false">J162-L162</f>
        <v>12093.154</v>
      </c>
    </row>
    <row r="163" customFormat="false" ht="15.75" hidden="false" customHeight="true" outlineLevel="0" collapsed="false">
      <c r="A163" s="3" t="s">
        <v>229</v>
      </c>
      <c r="B163" s="4" t="s">
        <v>216</v>
      </c>
      <c r="C163" s="4" t="s">
        <v>191</v>
      </c>
      <c r="D163" s="4" t="s">
        <v>22</v>
      </c>
      <c r="E163" s="3" t="s">
        <v>23</v>
      </c>
      <c r="F163" s="3" t="s">
        <v>19</v>
      </c>
      <c r="G163" s="3" t="s">
        <v>155</v>
      </c>
      <c r="H163" s="4" t="n">
        <v>19</v>
      </c>
      <c r="I163" s="5" t="n">
        <v>34716.11</v>
      </c>
      <c r="J163" s="5" t="n">
        <f aca="false">H163*I163</f>
        <v>659606.09</v>
      </c>
      <c r="K163" s="6" t="n">
        <v>0</v>
      </c>
      <c r="L163" s="5" t="n">
        <f aca="false">J163*K163</f>
        <v>0</v>
      </c>
      <c r="M163" s="5" t="n">
        <f aca="false">J163-L163</f>
        <v>659606.09</v>
      </c>
    </row>
    <row r="164" customFormat="false" ht="15.75" hidden="false" customHeight="true" outlineLevel="0" collapsed="false">
      <c r="A164" s="7" t="s">
        <v>230</v>
      </c>
      <c r="B164" s="8" t="s">
        <v>216</v>
      </c>
      <c r="C164" s="8" t="s">
        <v>191</v>
      </c>
      <c r="D164" s="8" t="s">
        <v>17</v>
      </c>
      <c r="E164" s="7" t="s">
        <v>38</v>
      </c>
      <c r="F164" s="7" t="s">
        <v>19</v>
      </c>
      <c r="G164" s="7" t="s">
        <v>155</v>
      </c>
      <c r="H164" s="8" t="n">
        <v>6</v>
      </c>
      <c r="I164" s="9" t="n">
        <v>30122.25</v>
      </c>
      <c r="J164" s="9" t="n">
        <f aca="false">H164*I164</f>
        <v>180733.5</v>
      </c>
      <c r="K164" s="10" t="n">
        <v>0.2</v>
      </c>
      <c r="L164" s="9" t="n">
        <f aca="false">J164*K164</f>
        <v>36146.7</v>
      </c>
      <c r="M164" s="9" t="n">
        <f aca="false">J164-L164</f>
        <v>144586.8</v>
      </c>
    </row>
    <row r="165" customFormat="false" ht="15.75" hidden="false" customHeight="true" outlineLevel="0" collapsed="false">
      <c r="A165" s="3" t="s">
        <v>231</v>
      </c>
      <c r="B165" s="4" t="s">
        <v>216</v>
      </c>
      <c r="C165" s="4" t="s">
        <v>191</v>
      </c>
      <c r="D165" s="4" t="s">
        <v>17</v>
      </c>
      <c r="E165" s="3" t="s">
        <v>58</v>
      </c>
      <c r="F165" s="3" t="s">
        <v>24</v>
      </c>
      <c r="G165" s="3" t="s">
        <v>42</v>
      </c>
      <c r="H165" s="4" t="n">
        <v>9</v>
      </c>
      <c r="I165" s="5" t="n">
        <v>1144.99</v>
      </c>
      <c r="J165" s="5" t="n">
        <f aca="false">H165*I165</f>
        <v>10304.91</v>
      </c>
      <c r="K165" s="6" t="n">
        <v>0.05</v>
      </c>
      <c r="L165" s="5" t="n">
        <f aca="false">J165*K165</f>
        <v>515.2455</v>
      </c>
      <c r="M165" s="5" t="n">
        <f aca="false">J165-L165</f>
        <v>9789.6645</v>
      </c>
    </row>
    <row r="166" customFormat="false" ht="15.75" hidden="false" customHeight="true" outlineLevel="0" collapsed="false">
      <c r="A166" s="7" t="s">
        <v>232</v>
      </c>
      <c r="B166" s="8" t="s">
        <v>216</v>
      </c>
      <c r="C166" s="8" t="s">
        <v>191</v>
      </c>
      <c r="D166" s="8" t="s">
        <v>27</v>
      </c>
      <c r="E166" s="7" t="s">
        <v>32</v>
      </c>
      <c r="F166" s="7" t="s">
        <v>39</v>
      </c>
      <c r="G166" s="7" t="s">
        <v>108</v>
      </c>
      <c r="H166" s="8" t="n">
        <v>3</v>
      </c>
      <c r="I166" s="9" t="n">
        <v>3656.73</v>
      </c>
      <c r="J166" s="9" t="n">
        <f aca="false">H166*I166</f>
        <v>10970.19</v>
      </c>
      <c r="K166" s="10" t="n">
        <v>0</v>
      </c>
      <c r="L166" s="9" t="n">
        <f aca="false">J166*K166</f>
        <v>0</v>
      </c>
      <c r="M166" s="9" t="n">
        <f aca="false">J166-L166</f>
        <v>10970.19</v>
      </c>
    </row>
    <row r="167" customFormat="false" ht="15.75" hidden="false" customHeight="true" outlineLevel="0" collapsed="false">
      <c r="A167" s="3" t="s">
        <v>233</v>
      </c>
      <c r="B167" s="4" t="s">
        <v>216</v>
      </c>
      <c r="C167" s="4" t="s">
        <v>191</v>
      </c>
      <c r="D167" s="4" t="s">
        <v>17</v>
      </c>
      <c r="E167" s="3" t="s">
        <v>67</v>
      </c>
      <c r="F167" s="3" t="s">
        <v>59</v>
      </c>
      <c r="G167" s="3" t="s">
        <v>65</v>
      </c>
      <c r="H167" s="4" t="n">
        <v>13</v>
      </c>
      <c r="I167" s="5" t="n">
        <v>853.36</v>
      </c>
      <c r="J167" s="5" t="n">
        <f aca="false">H167*I167</f>
        <v>11093.68</v>
      </c>
      <c r="K167" s="6" t="n">
        <v>0.1</v>
      </c>
      <c r="L167" s="5" t="n">
        <f aca="false">J167*K167</f>
        <v>1109.368</v>
      </c>
      <c r="M167" s="5" t="n">
        <f aca="false">J167-L167</f>
        <v>9984.312</v>
      </c>
    </row>
    <row r="168" customFormat="false" ht="15.75" hidden="false" customHeight="true" outlineLevel="0" collapsed="false">
      <c r="A168" s="7" t="s">
        <v>234</v>
      </c>
      <c r="B168" s="8" t="s">
        <v>216</v>
      </c>
      <c r="C168" s="8" t="s">
        <v>191</v>
      </c>
      <c r="D168" s="8" t="s">
        <v>17</v>
      </c>
      <c r="E168" s="7" t="s">
        <v>47</v>
      </c>
      <c r="F168" s="7" t="s">
        <v>19</v>
      </c>
      <c r="G168" s="7" t="s">
        <v>49</v>
      </c>
      <c r="H168" s="8" t="n">
        <v>19</v>
      </c>
      <c r="I168" s="9" t="n">
        <v>35168.71</v>
      </c>
      <c r="J168" s="9" t="n">
        <f aca="false">H168*I168</f>
        <v>668205.49</v>
      </c>
      <c r="K168" s="10" t="n">
        <v>0.15</v>
      </c>
      <c r="L168" s="9" t="n">
        <f aca="false">J168*K168</f>
        <v>100230.8235</v>
      </c>
      <c r="M168" s="9" t="n">
        <f aca="false">J168-L168</f>
        <v>567974.6665</v>
      </c>
    </row>
    <row r="169" customFormat="false" ht="15.75" hidden="false" customHeight="true" outlineLevel="0" collapsed="false">
      <c r="A169" s="3" t="s">
        <v>235</v>
      </c>
      <c r="B169" s="4" t="s">
        <v>216</v>
      </c>
      <c r="C169" s="4" t="s">
        <v>191</v>
      </c>
      <c r="D169" s="4" t="s">
        <v>31</v>
      </c>
      <c r="E169" s="3" t="s">
        <v>32</v>
      </c>
      <c r="F169" s="3" t="s">
        <v>39</v>
      </c>
      <c r="G169" s="3" t="s">
        <v>40</v>
      </c>
      <c r="H169" s="4" t="n">
        <v>1</v>
      </c>
      <c r="I169" s="5" t="n">
        <v>5380.37</v>
      </c>
      <c r="J169" s="5" t="n">
        <f aca="false">H169*I169</f>
        <v>5380.37</v>
      </c>
      <c r="K169" s="6" t="n">
        <v>0.1</v>
      </c>
      <c r="L169" s="5" t="n">
        <f aca="false">J169*K169</f>
        <v>538.037</v>
      </c>
      <c r="M169" s="5" t="n">
        <f aca="false">J169-L169</f>
        <v>4842.333</v>
      </c>
    </row>
    <row r="170" customFormat="false" ht="15.75" hidden="false" customHeight="true" outlineLevel="0" collapsed="false">
      <c r="A170" s="7" t="s">
        <v>236</v>
      </c>
      <c r="B170" s="8" t="s">
        <v>216</v>
      </c>
      <c r="C170" s="8" t="s">
        <v>191</v>
      </c>
      <c r="D170" s="8" t="s">
        <v>31</v>
      </c>
      <c r="E170" s="7" t="s">
        <v>67</v>
      </c>
      <c r="F170" s="7" t="s">
        <v>39</v>
      </c>
      <c r="G170" s="7" t="s">
        <v>62</v>
      </c>
      <c r="H170" s="8" t="n">
        <v>15</v>
      </c>
      <c r="I170" s="9" t="n">
        <v>6423.8</v>
      </c>
      <c r="J170" s="9" t="n">
        <f aca="false">H170*I170</f>
        <v>96357</v>
      </c>
      <c r="K170" s="10" t="n">
        <v>0</v>
      </c>
      <c r="L170" s="9" t="n">
        <f aca="false">J170*K170</f>
        <v>0</v>
      </c>
      <c r="M170" s="9" t="n">
        <f aca="false">J170-L170</f>
        <v>96357</v>
      </c>
    </row>
    <row r="171" customFormat="false" ht="15.75" hidden="false" customHeight="true" outlineLevel="0" collapsed="false">
      <c r="A171" s="3" t="s">
        <v>237</v>
      </c>
      <c r="B171" s="4" t="s">
        <v>216</v>
      </c>
      <c r="C171" s="4" t="s">
        <v>191</v>
      </c>
      <c r="D171" s="4" t="s">
        <v>31</v>
      </c>
      <c r="E171" s="3" t="s">
        <v>23</v>
      </c>
      <c r="F171" s="3" t="s">
        <v>59</v>
      </c>
      <c r="G171" s="3" t="s">
        <v>75</v>
      </c>
      <c r="H171" s="4" t="n">
        <v>2</v>
      </c>
      <c r="I171" s="5" t="n">
        <v>1132.19</v>
      </c>
      <c r="J171" s="5" t="n">
        <f aca="false">H171*I171</f>
        <v>2264.38</v>
      </c>
      <c r="K171" s="6" t="n">
        <v>0.05</v>
      </c>
      <c r="L171" s="5" t="n">
        <f aca="false">J171*K171</f>
        <v>113.219</v>
      </c>
      <c r="M171" s="5" t="n">
        <f aca="false">J171-L171</f>
        <v>2151.161</v>
      </c>
    </row>
    <row r="172" customFormat="false" ht="15.75" hidden="false" customHeight="true" outlineLevel="0" collapsed="false">
      <c r="A172" s="7" t="s">
        <v>238</v>
      </c>
      <c r="B172" s="8" t="s">
        <v>216</v>
      </c>
      <c r="C172" s="8" t="s">
        <v>191</v>
      </c>
      <c r="D172" s="8" t="s">
        <v>31</v>
      </c>
      <c r="E172" s="7" t="s">
        <v>28</v>
      </c>
      <c r="F172" s="7" t="s">
        <v>19</v>
      </c>
      <c r="G172" s="7" t="s">
        <v>20</v>
      </c>
      <c r="H172" s="8" t="n">
        <v>5</v>
      </c>
      <c r="I172" s="9" t="n">
        <v>35382.08</v>
      </c>
      <c r="J172" s="9" t="n">
        <f aca="false">H172*I172</f>
        <v>176910.4</v>
      </c>
      <c r="K172" s="10" t="n">
        <v>0</v>
      </c>
      <c r="L172" s="9" t="n">
        <f aca="false">J172*K172</f>
        <v>0</v>
      </c>
      <c r="M172" s="9" t="n">
        <f aca="false">J172-L172</f>
        <v>176910.4</v>
      </c>
    </row>
    <row r="173" customFormat="false" ht="15.75" hidden="false" customHeight="true" outlineLevel="0" collapsed="false">
      <c r="A173" s="3" t="s">
        <v>239</v>
      </c>
      <c r="B173" s="4" t="s">
        <v>240</v>
      </c>
      <c r="C173" s="4" t="s">
        <v>191</v>
      </c>
      <c r="D173" s="4" t="s">
        <v>31</v>
      </c>
      <c r="E173" s="3" t="s">
        <v>38</v>
      </c>
      <c r="F173" s="3" t="s">
        <v>24</v>
      </c>
      <c r="G173" s="3" t="s">
        <v>33</v>
      </c>
      <c r="H173" s="4" t="n">
        <v>4</v>
      </c>
      <c r="I173" s="5" t="n">
        <v>1093.56</v>
      </c>
      <c r="J173" s="5" t="n">
        <f aca="false">H173*I173</f>
        <v>4374.24</v>
      </c>
      <c r="K173" s="6" t="n">
        <v>0.1</v>
      </c>
      <c r="L173" s="5" t="n">
        <f aca="false">J173*K173</f>
        <v>437.424</v>
      </c>
      <c r="M173" s="5" t="n">
        <f aca="false">J173-L173</f>
        <v>3936.816</v>
      </c>
    </row>
    <row r="174" customFormat="false" ht="15.75" hidden="false" customHeight="true" outlineLevel="0" collapsed="false">
      <c r="A174" s="7" t="s">
        <v>241</v>
      </c>
      <c r="B174" s="8" t="s">
        <v>240</v>
      </c>
      <c r="C174" s="8" t="s">
        <v>191</v>
      </c>
      <c r="D174" s="8" t="s">
        <v>27</v>
      </c>
      <c r="E174" s="7" t="s">
        <v>35</v>
      </c>
      <c r="F174" s="7" t="s">
        <v>59</v>
      </c>
      <c r="G174" s="7" t="s">
        <v>95</v>
      </c>
      <c r="H174" s="8" t="n">
        <v>7</v>
      </c>
      <c r="I174" s="9" t="n">
        <v>1265.65</v>
      </c>
      <c r="J174" s="9" t="n">
        <f aca="false">H174*I174</f>
        <v>8859.55</v>
      </c>
      <c r="K174" s="10" t="n">
        <v>0</v>
      </c>
      <c r="L174" s="9" t="n">
        <f aca="false">J174*K174</f>
        <v>0</v>
      </c>
      <c r="M174" s="9" t="n">
        <f aca="false">J174-L174</f>
        <v>8859.55</v>
      </c>
    </row>
    <row r="175" customFormat="false" ht="15.75" hidden="false" customHeight="true" outlineLevel="0" collapsed="false">
      <c r="A175" s="3" t="s">
        <v>242</v>
      </c>
      <c r="B175" s="4" t="s">
        <v>240</v>
      </c>
      <c r="C175" s="4" t="s">
        <v>191</v>
      </c>
      <c r="D175" s="4" t="s">
        <v>17</v>
      </c>
      <c r="E175" s="3" t="s">
        <v>28</v>
      </c>
      <c r="F175" s="3" t="s">
        <v>39</v>
      </c>
      <c r="G175" s="3" t="s">
        <v>40</v>
      </c>
      <c r="H175" s="4" t="n">
        <v>12</v>
      </c>
      <c r="I175" s="5" t="n">
        <v>3367.98</v>
      </c>
      <c r="J175" s="5" t="n">
        <f aca="false">H175*I175</f>
        <v>40415.76</v>
      </c>
      <c r="K175" s="6" t="n">
        <v>0</v>
      </c>
      <c r="L175" s="5" t="n">
        <f aca="false">J175*K175</f>
        <v>0</v>
      </c>
      <c r="M175" s="5" t="n">
        <f aca="false">J175-L175</f>
        <v>40415.76</v>
      </c>
    </row>
    <row r="176" customFormat="false" ht="15.75" hidden="false" customHeight="true" outlineLevel="0" collapsed="false">
      <c r="A176" s="7" t="s">
        <v>243</v>
      </c>
      <c r="B176" s="8" t="s">
        <v>240</v>
      </c>
      <c r="C176" s="8" t="s">
        <v>191</v>
      </c>
      <c r="D176" s="8" t="s">
        <v>22</v>
      </c>
      <c r="E176" s="7" t="s">
        <v>67</v>
      </c>
      <c r="F176" s="7" t="s">
        <v>51</v>
      </c>
      <c r="G176" s="7" t="s">
        <v>83</v>
      </c>
      <c r="H176" s="8" t="n">
        <v>7</v>
      </c>
      <c r="I176" s="9" t="n">
        <v>3033.41</v>
      </c>
      <c r="J176" s="9" t="n">
        <f aca="false">H176*I176</f>
        <v>21233.87</v>
      </c>
      <c r="K176" s="10" t="n">
        <v>0.1</v>
      </c>
      <c r="L176" s="9" t="n">
        <f aca="false">J176*K176</f>
        <v>2123.387</v>
      </c>
      <c r="M176" s="9" t="n">
        <f aca="false">J176-L176</f>
        <v>19110.483</v>
      </c>
    </row>
    <row r="177" customFormat="false" ht="15.75" hidden="false" customHeight="true" outlineLevel="0" collapsed="false">
      <c r="A177" s="3" t="s">
        <v>244</v>
      </c>
      <c r="B177" s="4" t="s">
        <v>240</v>
      </c>
      <c r="C177" s="4" t="s">
        <v>191</v>
      </c>
      <c r="D177" s="4" t="s">
        <v>17</v>
      </c>
      <c r="E177" s="3" t="s">
        <v>18</v>
      </c>
      <c r="F177" s="3" t="s">
        <v>19</v>
      </c>
      <c r="G177" s="3" t="s">
        <v>20</v>
      </c>
      <c r="H177" s="4" t="n">
        <v>5</v>
      </c>
      <c r="I177" s="5" t="n">
        <v>46535.39</v>
      </c>
      <c r="J177" s="5" t="n">
        <f aca="false">H177*I177</f>
        <v>232676.95</v>
      </c>
      <c r="K177" s="6" t="n">
        <v>0</v>
      </c>
      <c r="L177" s="5" t="n">
        <f aca="false">J177*K177</f>
        <v>0</v>
      </c>
      <c r="M177" s="5" t="n">
        <f aca="false">J177-L177</f>
        <v>232676.95</v>
      </c>
    </row>
    <row r="178" customFormat="false" ht="15.75" hidden="false" customHeight="true" outlineLevel="0" collapsed="false">
      <c r="A178" s="7" t="s">
        <v>245</v>
      </c>
      <c r="B178" s="8" t="s">
        <v>240</v>
      </c>
      <c r="C178" s="8" t="s">
        <v>191</v>
      </c>
      <c r="D178" s="8" t="s">
        <v>31</v>
      </c>
      <c r="E178" s="7" t="s">
        <v>44</v>
      </c>
      <c r="F178" s="7" t="s">
        <v>19</v>
      </c>
      <c r="G178" s="7" t="s">
        <v>45</v>
      </c>
      <c r="H178" s="8" t="n">
        <v>7</v>
      </c>
      <c r="I178" s="9" t="n">
        <v>47265.48</v>
      </c>
      <c r="J178" s="9" t="n">
        <f aca="false">H178*I178</f>
        <v>330858.36</v>
      </c>
      <c r="K178" s="10" t="n">
        <v>0</v>
      </c>
      <c r="L178" s="9" t="n">
        <f aca="false">J178*K178</f>
        <v>0</v>
      </c>
      <c r="M178" s="9" t="n">
        <f aca="false">J178-L178</f>
        <v>330858.36</v>
      </c>
    </row>
    <row r="179" customFormat="false" ht="15.75" hidden="false" customHeight="true" outlineLevel="0" collapsed="false">
      <c r="A179" s="3" t="s">
        <v>246</v>
      </c>
      <c r="B179" s="4" t="s">
        <v>240</v>
      </c>
      <c r="C179" s="4" t="s">
        <v>191</v>
      </c>
      <c r="D179" s="4" t="s">
        <v>27</v>
      </c>
      <c r="E179" s="3" t="s">
        <v>47</v>
      </c>
      <c r="F179" s="3" t="s">
        <v>39</v>
      </c>
      <c r="G179" s="3" t="s">
        <v>73</v>
      </c>
      <c r="H179" s="4" t="n">
        <v>5</v>
      </c>
      <c r="I179" s="5" t="n">
        <v>6705.1</v>
      </c>
      <c r="J179" s="5" t="n">
        <f aca="false">H179*I179</f>
        <v>33525.5</v>
      </c>
      <c r="K179" s="6" t="n">
        <v>0.1</v>
      </c>
      <c r="L179" s="5" t="n">
        <f aca="false">J179*K179</f>
        <v>3352.55</v>
      </c>
      <c r="M179" s="5" t="n">
        <f aca="false">J179-L179</f>
        <v>30172.95</v>
      </c>
    </row>
    <row r="180" customFormat="false" ht="15.75" hidden="false" customHeight="true" outlineLevel="0" collapsed="false">
      <c r="A180" s="7" t="s">
        <v>247</v>
      </c>
      <c r="B180" s="8" t="s">
        <v>240</v>
      </c>
      <c r="C180" s="8" t="s">
        <v>191</v>
      </c>
      <c r="D180" s="8" t="s">
        <v>27</v>
      </c>
      <c r="E180" s="7" t="s">
        <v>23</v>
      </c>
      <c r="F180" s="7" t="s">
        <v>39</v>
      </c>
      <c r="G180" s="7" t="s">
        <v>73</v>
      </c>
      <c r="H180" s="8" t="n">
        <v>5</v>
      </c>
      <c r="I180" s="9" t="n">
        <v>3203.5</v>
      </c>
      <c r="J180" s="9" t="n">
        <f aca="false">H180*I180</f>
        <v>16017.5</v>
      </c>
      <c r="K180" s="10" t="n">
        <v>0.2</v>
      </c>
      <c r="L180" s="9" t="n">
        <f aca="false">J180*K180</f>
        <v>3203.5</v>
      </c>
      <c r="M180" s="9" t="n">
        <f aca="false">J180-L180</f>
        <v>12814</v>
      </c>
    </row>
    <row r="181" customFormat="false" ht="15.75" hidden="false" customHeight="true" outlineLevel="0" collapsed="false">
      <c r="A181" s="3" t="s">
        <v>248</v>
      </c>
      <c r="B181" s="4" t="s">
        <v>240</v>
      </c>
      <c r="C181" s="4" t="s">
        <v>191</v>
      </c>
      <c r="D181" s="4" t="s">
        <v>17</v>
      </c>
      <c r="E181" s="3" t="s">
        <v>23</v>
      </c>
      <c r="F181" s="3" t="s">
        <v>51</v>
      </c>
      <c r="G181" s="3" t="s">
        <v>81</v>
      </c>
      <c r="H181" s="4" t="n">
        <v>6</v>
      </c>
      <c r="I181" s="5" t="n">
        <v>2280.74</v>
      </c>
      <c r="J181" s="5" t="n">
        <f aca="false">H181*I181</f>
        <v>13684.44</v>
      </c>
      <c r="K181" s="6" t="n">
        <v>0</v>
      </c>
      <c r="L181" s="5" t="n">
        <f aca="false">J181*K181</f>
        <v>0</v>
      </c>
      <c r="M181" s="5" t="n">
        <f aca="false">J181-L181</f>
        <v>13684.44</v>
      </c>
    </row>
    <row r="182" customFormat="false" ht="15.75" hidden="false" customHeight="true" outlineLevel="0" collapsed="false">
      <c r="A182" s="7" t="s">
        <v>249</v>
      </c>
      <c r="B182" s="8" t="s">
        <v>240</v>
      </c>
      <c r="C182" s="8" t="s">
        <v>191</v>
      </c>
      <c r="D182" s="8" t="s">
        <v>27</v>
      </c>
      <c r="E182" s="7" t="s">
        <v>67</v>
      </c>
      <c r="F182" s="7" t="s">
        <v>59</v>
      </c>
      <c r="G182" s="7" t="s">
        <v>65</v>
      </c>
      <c r="H182" s="8" t="n">
        <v>16</v>
      </c>
      <c r="I182" s="9" t="n">
        <v>1270.34</v>
      </c>
      <c r="J182" s="9" t="n">
        <f aca="false">H182*I182</f>
        <v>20325.44</v>
      </c>
      <c r="K182" s="10" t="n">
        <v>0</v>
      </c>
      <c r="L182" s="9" t="n">
        <f aca="false">J182*K182</f>
        <v>0</v>
      </c>
      <c r="M182" s="9" t="n">
        <f aca="false">J182-L182</f>
        <v>20325.44</v>
      </c>
    </row>
    <row r="183" customFormat="false" ht="15.75" hidden="false" customHeight="true" outlineLevel="0" collapsed="false">
      <c r="A183" s="3" t="s">
        <v>250</v>
      </c>
      <c r="B183" s="4" t="s">
        <v>240</v>
      </c>
      <c r="C183" s="4" t="s">
        <v>191</v>
      </c>
      <c r="D183" s="4" t="s">
        <v>27</v>
      </c>
      <c r="E183" s="3" t="s">
        <v>32</v>
      </c>
      <c r="F183" s="3" t="s">
        <v>24</v>
      </c>
      <c r="G183" s="3" t="s">
        <v>29</v>
      </c>
      <c r="H183" s="4" t="n">
        <v>17</v>
      </c>
      <c r="I183" s="5" t="n">
        <v>701.79</v>
      </c>
      <c r="J183" s="5" t="n">
        <f aca="false">H183*I183</f>
        <v>11930.43</v>
      </c>
      <c r="K183" s="6" t="n">
        <v>0.1</v>
      </c>
      <c r="L183" s="5" t="n">
        <f aca="false">J183*K183</f>
        <v>1193.043</v>
      </c>
      <c r="M183" s="5" t="n">
        <f aca="false">J183-L183</f>
        <v>10737.387</v>
      </c>
    </row>
    <row r="184" customFormat="false" ht="15.75" hidden="false" customHeight="true" outlineLevel="0" collapsed="false">
      <c r="A184" s="7" t="s">
        <v>251</v>
      </c>
      <c r="B184" s="8" t="s">
        <v>240</v>
      </c>
      <c r="C184" s="8" t="s">
        <v>191</v>
      </c>
      <c r="D184" s="8" t="s">
        <v>17</v>
      </c>
      <c r="E184" s="7" t="s">
        <v>32</v>
      </c>
      <c r="F184" s="7" t="s">
        <v>19</v>
      </c>
      <c r="G184" s="7" t="s">
        <v>45</v>
      </c>
      <c r="H184" s="8" t="n">
        <v>1</v>
      </c>
      <c r="I184" s="9" t="n">
        <v>26203.11</v>
      </c>
      <c r="J184" s="9" t="n">
        <f aca="false">H184*I184</f>
        <v>26203.11</v>
      </c>
      <c r="K184" s="10" t="n">
        <v>0.05</v>
      </c>
      <c r="L184" s="9" t="n">
        <f aca="false">J184*K184</f>
        <v>1310.1555</v>
      </c>
      <c r="M184" s="9" t="n">
        <f aca="false">J184-L184</f>
        <v>24892.9545</v>
      </c>
    </row>
    <row r="185" customFormat="false" ht="15.75" hidden="false" customHeight="true" outlineLevel="0" collapsed="false">
      <c r="A185" s="3" t="s">
        <v>252</v>
      </c>
      <c r="B185" s="4" t="s">
        <v>240</v>
      </c>
      <c r="C185" s="4" t="s">
        <v>191</v>
      </c>
      <c r="D185" s="4" t="s">
        <v>27</v>
      </c>
      <c r="E185" s="3" t="s">
        <v>32</v>
      </c>
      <c r="F185" s="3" t="s">
        <v>59</v>
      </c>
      <c r="G185" s="3" t="s">
        <v>86</v>
      </c>
      <c r="H185" s="4" t="n">
        <v>15</v>
      </c>
      <c r="I185" s="5" t="n">
        <v>910.55</v>
      </c>
      <c r="J185" s="5" t="n">
        <f aca="false">H185*I185</f>
        <v>13658.25</v>
      </c>
      <c r="K185" s="6" t="n">
        <v>0</v>
      </c>
      <c r="L185" s="5" t="n">
        <f aca="false">J185*K185</f>
        <v>0</v>
      </c>
      <c r="M185" s="5" t="n">
        <f aca="false">J185-L185</f>
        <v>13658.25</v>
      </c>
    </row>
    <row r="186" customFormat="false" ht="15.75" hidden="false" customHeight="true" outlineLevel="0" collapsed="false">
      <c r="A186" s="7" t="s">
        <v>253</v>
      </c>
      <c r="B186" s="8" t="s">
        <v>240</v>
      </c>
      <c r="C186" s="8" t="s">
        <v>191</v>
      </c>
      <c r="D186" s="8" t="s">
        <v>31</v>
      </c>
      <c r="E186" s="7" t="s">
        <v>67</v>
      </c>
      <c r="F186" s="7" t="s">
        <v>39</v>
      </c>
      <c r="G186" s="7" t="s">
        <v>62</v>
      </c>
      <c r="H186" s="8" t="n">
        <v>5</v>
      </c>
      <c r="I186" s="9" t="n">
        <v>4140.06</v>
      </c>
      <c r="J186" s="9" t="n">
        <f aca="false">H186*I186</f>
        <v>20700.3</v>
      </c>
      <c r="K186" s="10" t="n">
        <v>0.15</v>
      </c>
      <c r="L186" s="9" t="n">
        <f aca="false">J186*K186</f>
        <v>3105.045</v>
      </c>
      <c r="M186" s="9" t="n">
        <f aca="false">J186-L186</f>
        <v>17595.255</v>
      </c>
    </row>
    <row r="187" customFormat="false" ht="15.75" hidden="false" customHeight="true" outlineLevel="0" collapsed="false">
      <c r="A187" s="3" t="s">
        <v>254</v>
      </c>
      <c r="B187" s="4" t="s">
        <v>240</v>
      </c>
      <c r="C187" s="4" t="s">
        <v>191</v>
      </c>
      <c r="D187" s="4" t="s">
        <v>17</v>
      </c>
      <c r="E187" s="3" t="s">
        <v>38</v>
      </c>
      <c r="F187" s="3" t="s">
        <v>24</v>
      </c>
      <c r="G187" s="3" t="s">
        <v>29</v>
      </c>
      <c r="H187" s="4" t="n">
        <v>20</v>
      </c>
      <c r="I187" s="5" t="n">
        <v>899.56</v>
      </c>
      <c r="J187" s="5" t="n">
        <f aca="false">H187*I187</f>
        <v>17991.2</v>
      </c>
      <c r="K187" s="6" t="n">
        <v>0.05</v>
      </c>
      <c r="L187" s="5" t="n">
        <f aca="false">J187*K187</f>
        <v>899.56</v>
      </c>
      <c r="M187" s="5" t="n">
        <f aca="false">J187-L187</f>
        <v>17091.64</v>
      </c>
    </row>
    <row r="188" customFormat="false" ht="15.75" hidden="false" customHeight="true" outlineLevel="0" collapsed="false">
      <c r="A188" s="7" t="s">
        <v>255</v>
      </c>
      <c r="B188" s="8" t="s">
        <v>240</v>
      </c>
      <c r="C188" s="8" t="s">
        <v>191</v>
      </c>
      <c r="D188" s="8" t="s">
        <v>22</v>
      </c>
      <c r="E188" s="7" t="s">
        <v>67</v>
      </c>
      <c r="F188" s="7" t="s">
        <v>24</v>
      </c>
      <c r="G188" s="7" t="s">
        <v>29</v>
      </c>
      <c r="H188" s="8" t="n">
        <v>4</v>
      </c>
      <c r="I188" s="9" t="n">
        <v>1105.79</v>
      </c>
      <c r="J188" s="9" t="n">
        <f aca="false">H188*I188</f>
        <v>4423.16</v>
      </c>
      <c r="K188" s="10" t="n">
        <v>0.15</v>
      </c>
      <c r="L188" s="9" t="n">
        <f aca="false">J188*K188</f>
        <v>663.474</v>
      </c>
      <c r="M188" s="9" t="n">
        <f aca="false">J188-L188</f>
        <v>3759.686</v>
      </c>
    </row>
    <row r="189" customFormat="false" ht="15.75" hidden="false" customHeight="true" outlineLevel="0" collapsed="false">
      <c r="A189" s="3" t="s">
        <v>256</v>
      </c>
      <c r="B189" s="4" t="s">
        <v>240</v>
      </c>
      <c r="C189" s="4" t="s">
        <v>191</v>
      </c>
      <c r="D189" s="4" t="s">
        <v>22</v>
      </c>
      <c r="E189" s="3" t="s">
        <v>32</v>
      </c>
      <c r="F189" s="3" t="s">
        <v>24</v>
      </c>
      <c r="G189" s="3" t="s">
        <v>106</v>
      </c>
      <c r="H189" s="4" t="n">
        <v>8</v>
      </c>
      <c r="I189" s="5" t="n">
        <v>824.84</v>
      </c>
      <c r="J189" s="5" t="n">
        <f aca="false">H189*I189</f>
        <v>6598.72</v>
      </c>
      <c r="K189" s="6" t="n">
        <v>0.2</v>
      </c>
      <c r="L189" s="5" t="n">
        <f aca="false">J189*K189</f>
        <v>1319.744</v>
      </c>
      <c r="M189" s="5" t="n">
        <f aca="false">J189-L189</f>
        <v>5278.976</v>
      </c>
    </row>
    <row r="190" customFormat="false" ht="15.75" hidden="false" customHeight="true" outlineLevel="0" collapsed="false">
      <c r="A190" s="7" t="s">
        <v>257</v>
      </c>
      <c r="B190" s="8" t="s">
        <v>240</v>
      </c>
      <c r="C190" s="8" t="s">
        <v>191</v>
      </c>
      <c r="D190" s="8" t="s">
        <v>22</v>
      </c>
      <c r="E190" s="7" t="s">
        <v>67</v>
      </c>
      <c r="F190" s="7" t="s">
        <v>59</v>
      </c>
      <c r="G190" s="7" t="s">
        <v>86</v>
      </c>
      <c r="H190" s="8" t="n">
        <v>11</v>
      </c>
      <c r="I190" s="9" t="n">
        <v>1249.69</v>
      </c>
      <c r="J190" s="9" t="n">
        <f aca="false">H190*I190</f>
        <v>13746.59</v>
      </c>
      <c r="K190" s="10" t="n">
        <v>0.15</v>
      </c>
      <c r="L190" s="9" t="n">
        <f aca="false">J190*K190</f>
        <v>2061.9885</v>
      </c>
      <c r="M190" s="9" t="n">
        <f aca="false">J190-L190</f>
        <v>11684.6015</v>
      </c>
    </row>
    <row r="191" customFormat="false" ht="15.75" hidden="false" customHeight="true" outlineLevel="0" collapsed="false">
      <c r="A191" s="3" t="s">
        <v>258</v>
      </c>
      <c r="B191" s="4" t="s">
        <v>240</v>
      </c>
      <c r="C191" s="4" t="s">
        <v>191</v>
      </c>
      <c r="D191" s="4" t="s">
        <v>31</v>
      </c>
      <c r="E191" s="3" t="s">
        <v>32</v>
      </c>
      <c r="F191" s="3" t="s">
        <v>39</v>
      </c>
      <c r="G191" s="3" t="s">
        <v>108</v>
      </c>
      <c r="H191" s="4" t="n">
        <v>3</v>
      </c>
      <c r="I191" s="5" t="n">
        <v>3478.41</v>
      </c>
      <c r="J191" s="5" t="n">
        <f aca="false">H191*I191</f>
        <v>10435.23</v>
      </c>
      <c r="K191" s="6" t="n">
        <v>0</v>
      </c>
      <c r="L191" s="5" t="n">
        <f aca="false">J191*K191</f>
        <v>0</v>
      </c>
      <c r="M191" s="5" t="n">
        <f aca="false">J191-L191</f>
        <v>10435.23</v>
      </c>
    </row>
    <row r="192" customFormat="false" ht="15.75" hidden="false" customHeight="true" outlineLevel="0" collapsed="false">
      <c r="A192" s="7" t="s">
        <v>259</v>
      </c>
      <c r="B192" s="8" t="s">
        <v>240</v>
      </c>
      <c r="C192" s="8" t="s">
        <v>191</v>
      </c>
      <c r="D192" s="8" t="s">
        <v>27</v>
      </c>
      <c r="E192" s="7" t="s">
        <v>35</v>
      </c>
      <c r="F192" s="7" t="s">
        <v>19</v>
      </c>
      <c r="G192" s="7" t="s">
        <v>49</v>
      </c>
      <c r="H192" s="8" t="n">
        <v>5</v>
      </c>
      <c r="I192" s="9" t="n">
        <v>40078.38</v>
      </c>
      <c r="J192" s="9" t="n">
        <f aca="false">H192*I192</f>
        <v>200391.9</v>
      </c>
      <c r="K192" s="10" t="n">
        <v>0.1</v>
      </c>
      <c r="L192" s="9" t="n">
        <f aca="false">J192*K192</f>
        <v>20039.19</v>
      </c>
      <c r="M192" s="9" t="n">
        <f aca="false">J192-L192</f>
        <v>180352.71</v>
      </c>
    </row>
    <row r="193" customFormat="false" ht="15.75" hidden="false" customHeight="true" outlineLevel="0" collapsed="false">
      <c r="A193" s="3" t="s">
        <v>260</v>
      </c>
      <c r="B193" s="4" t="s">
        <v>240</v>
      </c>
      <c r="C193" s="4" t="s">
        <v>191</v>
      </c>
      <c r="D193" s="4" t="s">
        <v>17</v>
      </c>
      <c r="E193" s="3" t="s">
        <v>67</v>
      </c>
      <c r="F193" s="3" t="s">
        <v>24</v>
      </c>
      <c r="G193" s="3" t="s">
        <v>29</v>
      </c>
      <c r="H193" s="4" t="n">
        <v>14</v>
      </c>
      <c r="I193" s="5" t="n">
        <v>786.3</v>
      </c>
      <c r="J193" s="5" t="n">
        <f aca="false">H193*I193</f>
        <v>11008.2</v>
      </c>
      <c r="K193" s="6" t="n">
        <v>0.15</v>
      </c>
      <c r="L193" s="5" t="n">
        <f aca="false">J193*K193</f>
        <v>1651.23</v>
      </c>
      <c r="M193" s="5" t="n">
        <f aca="false">J193-L193</f>
        <v>9356.97</v>
      </c>
    </row>
    <row r="194" customFormat="false" ht="15.75" hidden="false" customHeight="true" outlineLevel="0" collapsed="false">
      <c r="A194" s="7" t="s">
        <v>261</v>
      </c>
      <c r="B194" s="8" t="s">
        <v>240</v>
      </c>
      <c r="C194" s="8" t="s">
        <v>191</v>
      </c>
      <c r="D194" s="8" t="s">
        <v>17</v>
      </c>
      <c r="E194" s="7" t="s">
        <v>44</v>
      </c>
      <c r="F194" s="7" t="s">
        <v>59</v>
      </c>
      <c r="G194" s="7" t="s">
        <v>75</v>
      </c>
      <c r="H194" s="8" t="n">
        <v>10</v>
      </c>
      <c r="I194" s="9" t="n">
        <v>1177.58</v>
      </c>
      <c r="J194" s="9" t="n">
        <f aca="false">H194*I194</f>
        <v>11775.8</v>
      </c>
      <c r="K194" s="10" t="n">
        <v>0.1</v>
      </c>
      <c r="L194" s="9" t="n">
        <f aca="false">J194*K194</f>
        <v>1177.58</v>
      </c>
      <c r="M194" s="9" t="n">
        <f aca="false">J194-L194</f>
        <v>10598.22</v>
      </c>
    </row>
    <row r="195" customFormat="false" ht="15.75" hidden="false" customHeight="true" outlineLevel="0" collapsed="false">
      <c r="A195" s="3" t="s">
        <v>262</v>
      </c>
      <c r="B195" s="4" t="s">
        <v>240</v>
      </c>
      <c r="C195" s="4" t="s">
        <v>191</v>
      </c>
      <c r="D195" s="4" t="s">
        <v>31</v>
      </c>
      <c r="E195" s="3" t="s">
        <v>32</v>
      </c>
      <c r="F195" s="3" t="s">
        <v>24</v>
      </c>
      <c r="G195" s="3" t="s">
        <v>106</v>
      </c>
      <c r="H195" s="4" t="n">
        <v>8</v>
      </c>
      <c r="I195" s="5" t="n">
        <v>1102.26</v>
      </c>
      <c r="J195" s="5" t="n">
        <f aca="false">H195*I195</f>
        <v>8818.08</v>
      </c>
      <c r="K195" s="6" t="n">
        <v>0</v>
      </c>
      <c r="L195" s="5" t="n">
        <f aca="false">J195*K195</f>
        <v>0</v>
      </c>
      <c r="M195" s="5" t="n">
        <f aca="false">J195-L195</f>
        <v>8818.08</v>
      </c>
    </row>
    <row r="196" customFormat="false" ht="15.75" hidden="false" customHeight="true" outlineLevel="0" collapsed="false">
      <c r="A196" s="7" t="s">
        <v>263</v>
      </c>
      <c r="B196" s="8" t="s">
        <v>240</v>
      </c>
      <c r="C196" s="8" t="s">
        <v>191</v>
      </c>
      <c r="D196" s="8" t="s">
        <v>27</v>
      </c>
      <c r="E196" s="7" t="s">
        <v>47</v>
      </c>
      <c r="F196" s="7" t="s">
        <v>24</v>
      </c>
      <c r="G196" s="7" t="s">
        <v>42</v>
      </c>
      <c r="H196" s="8" t="n">
        <v>19</v>
      </c>
      <c r="I196" s="9" t="n">
        <v>704.74</v>
      </c>
      <c r="J196" s="9" t="n">
        <f aca="false">H196*I196</f>
        <v>13390.06</v>
      </c>
      <c r="K196" s="10" t="n">
        <v>0.05</v>
      </c>
      <c r="L196" s="9" t="n">
        <f aca="false">J196*K196</f>
        <v>669.503</v>
      </c>
      <c r="M196" s="9" t="n">
        <f aca="false">J196-L196</f>
        <v>12720.557</v>
      </c>
    </row>
    <row r="197" customFormat="false" ht="15.75" hidden="false" customHeight="true" outlineLevel="0" collapsed="false">
      <c r="A197" s="3" t="s">
        <v>264</v>
      </c>
      <c r="B197" s="4" t="s">
        <v>240</v>
      </c>
      <c r="C197" s="4" t="s">
        <v>191</v>
      </c>
      <c r="D197" s="4" t="s">
        <v>27</v>
      </c>
      <c r="E197" s="3" t="s">
        <v>44</v>
      </c>
      <c r="F197" s="3" t="s">
        <v>24</v>
      </c>
      <c r="G197" s="3" t="s">
        <v>29</v>
      </c>
      <c r="H197" s="4" t="n">
        <v>9</v>
      </c>
      <c r="I197" s="5" t="n">
        <v>578.53</v>
      </c>
      <c r="J197" s="5" t="n">
        <f aca="false">H197*I197</f>
        <v>5206.77</v>
      </c>
      <c r="K197" s="6" t="n">
        <v>0</v>
      </c>
      <c r="L197" s="5" t="n">
        <f aca="false">J197*K197</f>
        <v>0</v>
      </c>
      <c r="M197" s="5" t="n">
        <f aca="false">J197-L197</f>
        <v>5206.77</v>
      </c>
    </row>
    <row r="198" customFormat="false" ht="15.75" hidden="false" customHeight="true" outlineLevel="0" collapsed="false">
      <c r="A198" s="7" t="s">
        <v>265</v>
      </c>
      <c r="B198" s="8" t="s">
        <v>266</v>
      </c>
      <c r="C198" s="8" t="s">
        <v>267</v>
      </c>
      <c r="D198" s="8" t="s">
        <v>27</v>
      </c>
      <c r="E198" s="7" t="s">
        <v>58</v>
      </c>
      <c r="F198" s="7" t="s">
        <v>39</v>
      </c>
      <c r="G198" s="7" t="s">
        <v>108</v>
      </c>
      <c r="H198" s="8" t="n">
        <v>5</v>
      </c>
      <c r="I198" s="9" t="n">
        <v>5188.76</v>
      </c>
      <c r="J198" s="9" t="n">
        <f aca="false">H198*I198</f>
        <v>25943.8</v>
      </c>
      <c r="K198" s="10" t="n">
        <v>0.05</v>
      </c>
      <c r="L198" s="9" t="n">
        <f aca="false">J198*K198</f>
        <v>1297.19</v>
      </c>
      <c r="M198" s="9" t="n">
        <f aca="false">J198-L198</f>
        <v>24646.61</v>
      </c>
    </row>
    <row r="199" customFormat="false" ht="15.75" hidden="false" customHeight="true" outlineLevel="0" collapsed="false">
      <c r="A199" s="3" t="s">
        <v>268</v>
      </c>
      <c r="B199" s="4" t="s">
        <v>266</v>
      </c>
      <c r="C199" s="4" t="s">
        <v>267</v>
      </c>
      <c r="D199" s="4" t="s">
        <v>27</v>
      </c>
      <c r="E199" s="3" t="s">
        <v>67</v>
      </c>
      <c r="F199" s="3" t="s">
        <v>19</v>
      </c>
      <c r="G199" s="3" t="s">
        <v>36</v>
      </c>
      <c r="H199" s="4" t="n">
        <v>17</v>
      </c>
      <c r="I199" s="5" t="n">
        <v>30523.72</v>
      </c>
      <c r="J199" s="5" t="n">
        <f aca="false">H199*I199</f>
        <v>518903.24</v>
      </c>
      <c r="K199" s="6" t="n">
        <v>0.05</v>
      </c>
      <c r="L199" s="5" t="n">
        <f aca="false">J199*K199</f>
        <v>25945.162</v>
      </c>
      <c r="M199" s="5" t="n">
        <f aca="false">J199-L199</f>
        <v>492958.078</v>
      </c>
    </row>
    <row r="200" customFormat="false" ht="15.75" hidden="false" customHeight="true" outlineLevel="0" collapsed="false">
      <c r="A200" s="7" t="s">
        <v>269</v>
      </c>
      <c r="B200" s="8" t="s">
        <v>266</v>
      </c>
      <c r="C200" s="8" t="s">
        <v>267</v>
      </c>
      <c r="D200" s="8" t="s">
        <v>31</v>
      </c>
      <c r="E200" s="7" t="s">
        <v>35</v>
      </c>
      <c r="F200" s="7" t="s">
        <v>59</v>
      </c>
      <c r="G200" s="7" t="s">
        <v>95</v>
      </c>
      <c r="H200" s="8" t="n">
        <v>10</v>
      </c>
      <c r="I200" s="9" t="n">
        <v>1532.73</v>
      </c>
      <c r="J200" s="9" t="n">
        <f aca="false">H200*I200</f>
        <v>15327.3</v>
      </c>
      <c r="K200" s="10" t="n">
        <v>0.2</v>
      </c>
      <c r="L200" s="9" t="n">
        <f aca="false">J200*K200</f>
        <v>3065.46</v>
      </c>
      <c r="M200" s="9" t="n">
        <f aca="false">J200-L200</f>
        <v>12261.84</v>
      </c>
    </row>
    <row r="201" customFormat="false" ht="15.75" hidden="false" customHeight="true" outlineLevel="0" collapsed="false">
      <c r="A201" s="3" t="s">
        <v>270</v>
      </c>
      <c r="B201" s="4" t="s">
        <v>266</v>
      </c>
      <c r="C201" s="4" t="s">
        <v>267</v>
      </c>
      <c r="D201" s="4" t="s">
        <v>27</v>
      </c>
      <c r="E201" s="3" t="s">
        <v>23</v>
      </c>
      <c r="F201" s="3" t="s">
        <v>24</v>
      </c>
      <c r="G201" s="3" t="s">
        <v>29</v>
      </c>
      <c r="H201" s="4" t="n">
        <v>5</v>
      </c>
      <c r="I201" s="5" t="n">
        <v>660.74</v>
      </c>
      <c r="J201" s="5" t="n">
        <f aca="false">H201*I201</f>
        <v>3303.7</v>
      </c>
      <c r="K201" s="6" t="n">
        <v>0.1</v>
      </c>
      <c r="L201" s="5" t="n">
        <f aca="false">J201*K201</f>
        <v>330.37</v>
      </c>
      <c r="M201" s="5" t="n">
        <f aca="false">J201-L201</f>
        <v>2973.33</v>
      </c>
    </row>
    <row r="202" customFormat="false" ht="15.75" hidden="false" customHeight="true" outlineLevel="0" collapsed="false">
      <c r="A202" s="7" t="s">
        <v>271</v>
      </c>
      <c r="B202" s="8" t="s">
        <v>266</v>
      </c>
      <c r="C202" s="8" t="s">
        <v>267</v>
      </c>
      <c r="D202" s="8" t="s">
        <v>17</v>
      </c>
      <c r="E202" s="7" t="s">
        <v>32</v>
      </c>
      <c r="F202" s="7" t="s">
        <v>19</v>
      </c>
      <c r="G202" s="7" t="s">
        <v>20</v>
      </c>
      <c r="H202" s="8" t="n">
        <v>14</v>
      </c>
      <c r="I202" s="9" t="n">
        <v>38098.53</v>
      </c>
      <c r="J202" s="9" t="n">
        <f aca="false">H202*I202</f>
        <v>533379.42</v>
      </c>
      <c r="K202" s="10" t="n">
        <v>0.05</v>
      </c>
      <c r="L202" s="9" t="n">
        <f aca="false">J202*K202</f>
        <v>26668.971</v>
      </c>
      <c r="M202" s="9" t="n">
        <f aca="false">J202-L202</f>
        <v>506710.449</v>
      </c>
    </row>
    <row r="203" customFormat="false" ht="15.75" hidden="false" customHeight="true" outlineLevel="0" collapsed="false">
      <c r="A203" s="3" t="s">
        <v>272</v>
      </c>
      <c r="B203" s="4" t="s">
        <v>266</v>
      </c>
      <c r="C203" s="4" t="s">
        <v>267</v>
      </c>
      <c r="D203" s="4" t="s">
        <v>31</v>
      </c>
      <c r="E203" s="3" t="s">
        <v>28</v>
      </c>
      <c r="F203" s="3" t="s">
        <v>59</v>
      </c>
      <c r="G203" s="3" t="s">
        <v>95</v>
      </c>
      <c r="H203" s="4" t="n">
        <v>4</v>
      </c>
      <c r="I203" s="5" t="n">
        <v>1171.37</v>
      </c>
      <c r="J203" s="5" t="n">
        <f aca="false">H203*I203</f>
        <v>4685.48</v>
      </c>
      <c r="K203" s="6" t="n">
        <v>0</v>
      </c>
      <c r="L203" s="5" t="n">
        <f aca="false">J203*K203</f>
        <v>0</v>
      </c>
      <c r="M203" s="5" t="n">
        <f aca="false">J203-L203</f>
        <v>4685.48</v>
      </c>
    </row>
    <row r="204" customFormat="false" ht="15.75" hidden="false" customHeight="true" outlineLevel="0" collapsed="false">
      <c r="A204" s="7" t="s">
        <v>273</v>
      </c>
      <c r="B204" s="8" t="s">
        <v>266</v>
      </c>
      <c r="C204" s="8" t="s">
        <v>267</v>
      </c>
      <c r="D204" s="8" t="s">
        <v>22</v>
      </c>
      <c r="E204" s="7" t="s">
        <v>28</v>
      </c>
      <c r="F204" s="7" t="s">
        <v>39</v>
      </c>
      <c r="G204" s="7" t="s">
        <v>62</v>
      </c>
      <c r="H204" s="8" t="n">
        <v>10</v>
      </c>
      <c r="I204" s="9" t="n">
        <v>3313.5</v>
      </c>
      <c r="J204" s="9" t="n">
        <f aca="false">H204*I204</f>
        <v>33135</v>
      </c>
      <c r="K204" s="10" t="n">
        <v>0.05</v>
      </c>
      <c r="L204" s="9" t="n">
        <f aca="false">J204*K204</f>
        <v>1656.75</v>
      </c>
      <c r="M204" s="9" t="n">
        <f aca="false">J204-L204</f>
        <v>31478.25</v>
      </c>
    </row>
    <row r="205" customFormat="false" ht="15.75" hidden="false" customHeight="true" outlineLevel="0" collapsed="false">
      <c r="A205" s="3" t="s">
        <v>274</v>
      </c>
      <c r="B205" s="4" t="s">
        <v>266</v>
      </c>
      <c r="C205" s="4" t="s">
        <v>267</v>
      </c>
      <c r="D205" s="4" t="s">
        <v>27</v>
      </c>
      <c r="E205" s="3" t="s">
        <v>18</v>
      </c>
      <c r="F205" s="3" t="s">
        <v>24</v>
      </c>
      <c r="G205" s="3" t="s">
        <v>25</v>
      </c>
      <c r="H205" s="4" t="n">
        <v>10</v>
      </c>
      <c r="I205" s="5" t="n">
        <v>1165.01</v>
      </c>
      <c r="J205" s="5" t="n">
        <f aca="false">H205*I205</f>
        <v>11650.1</v>
      </c>
      <c r="K205" s="6" t="n">
        <v>0.2</v>
      </c>
      <c r="L205" s="5" t="n">
        <f aca="false">J205*K205</f>
        <v>2330.02</v>
      </c>
      <c r="M205" s="5" t="n">
        <f aca="false">J205-L205</f>
        <v>9320.08</v>
      </c>
    </row>
    <row r="206" customFormat="false" ht="15.75" hidden="false" customHeight="true" outlineLevel="0" collapsed="false">
      <c r="A206" s="7" t="s">
        <v>275</v>
      </c>
      <c r="B206" s="8" t="s">
        <v>266</v>
      </c>
      <c r="C206" s="8" t="s">
        <v>267</v>
      </c>
      <c r="D206" s="8" t="s">
        <v>17</v>
      </c>
      <c r="E206" s="7" t="s">
        <v>35</v>
      </c>
      <c r="F206" s="7" t="s">
        <v>51</v>
      </c>
      <c r="G206" s="7" t="s">
        <v>52</v>
      </c>
      <c r="H206" s="8" t="n">
        <v>4</v>
      </c>
      <c r="I206" s="9" t="n">
        <v>1765.46</v>
      </c>
      <c r="J206" s="9" t="n">
        <f aca="false">H206*I206</f>
        <v>7061.84</v>
      </c>
      <c r="K206" s="10" t="n">
        <v>0.15</v>
      </c>
      <c r="L206" s="9" t="n">
        <f aca="false">J206*K206</f>
        <v>1059.276</v>
      </c>
      <c r="M206" s="9" t="n">
        <f aca="false">J206-L206</f>
        <v>6002.564</v>
      </c>
    </row>
    <row r="207" customFormat="false" ht="15.75" hidden="false" customHeight="true" outlineLevel="0" collapsed="false">
      <c r="A207" s="3" t="s">
        <v>276</v>
      </c>
      <c r="B207" s="4" t="s">
        <v>266</v>
      </c>
      <c r="C207" s="4" t="s">
        <v>267</v>
      </c>
      <c r="D207" s="4" t="s">
        <v>31</v>
      </c>
      <c r="E207" s="3" t="s">
        <v>38</v>
      </c>
      <c r="F207" s="3" t="s">
        <v>59</v>
      </c>
      <c r="G207" s="3" t="s">
        <v>60</v>
      </c>
      <c r="H207" s="4" t="n">
        <v>18</v>
      </c>
      <c r="I207" s="5" t="n">
        <v>1515.52</v>
      </c>
      <c r="J207" s="5" t="n">
        <f aca="false">H207*I207</f>
        <v>27279.36</v>
      </c>
      <c r="K207" s="6" t="n">
        <v>0.1</v>
      </c>
      <c r="L207" s="5" t="n">
        <f aca="false">J207*K207</f>
        <v>2727.936</v>
      </c>
      <c r="M207" s="5" t="n">
        <f aca="false">J207-L207</f>
        <v>24551.424</v>
      </c>
    </row>
    <row r="208" customFormat="false" ht="15.75" hidden="false" customHeight="true" outlineLevel="0" collapsed="false">
      <c r="A208" s="7" t="s">
        <v>277</v>
      </c>
      <c r="B208" s="8" t="s">
        <v>266</v>
      </c>
      <c r="C208" s="8" t="s">
        <v>267</v>
      </c>
      <c r="D208" s="8" t="s">
        <v>27</v>
      </c>
      <c r="E208" s="7" t="s">
        <v>38</v>
      </c>
      <c r="F208" s="7" t="s">
        <v>24</v>
      </c>
      <c r="G208" s="7" t="s">
        <v>42</v>
      </c>
      <c r="H208" s="8" t="n">
        <v>2</v>
      </c>
      <c r="I208" s="9" t="n">
        <v>839.18</v>
      </c>
      <c r="J208" s="9" t="n">
        <f aca="false">H208*I208</f>
        <v>1678.36</v>
      </c>
      <c r="K208" s="10" t="n">
        <v>0.05</v>
      </c>
      <c r="L208" s="9" t="n">
        <f aca="false">J208*K208</f>
        <v>83.918</v>
      </c>
      <c r="M208" s="9" t="n">
        <f aca="false">J208-L208</f>
        <v>1594.442</v>
      </c>
    </row>
    <row r="209" customFormat="false" ht="15.75" hidden="false" customHeight="true" outlineLevel="0" collapsed="false">
      <c r="A209" s="3" t="s">
        <v>278</v>
      </c>
      <c r="B209" s="4" t="s">
        <v>266</v>
      </c>
      <c r="C209" s="4" t="s">
        <v>267</v>
      </c>
      <c r="D209" s="4" t="s">
        <v>22</v>
      </c>
      <c r="E209" s="3" t="s">
        <v>44</v>
      </c>
      <c r="F209" s="3" t="s">
        <v>19</v>
      </c>
      <c r="G209" s="3" t="s">
        <v>155</v>
      </c>
      <c r="H209" s="4" t="n">
        <v>13</v>
      </c>
      <c r="I209" s="5" t="n">
        <v>44365.97</v>
      </c>
      <c r="J209" s="5" t="n">
        <f aca="false">H209*I209</f>
        <v>576757.61</v>
      </c>
      <c r="K209" s="6" t="n">
        <v>0.05</v>
      </c>
      <c r="L209" s="5" t="n">
        <f aca="false">J209*K209</f>
        <v>28837.8805</v>
      </c>
      <c r="M209" s="5" t="n">
        <f aca="false">J209-L209</f>
        <v>547919.7295</v>
      </c>
    </row>
    <row r="210" customFormat="false" ht="15.75" hidden="false" customHeight="true" outlineLevel="0" collapsed="false">
      <c r="A210" s="7" t="s">
        <v>279</v>
      </c>
      <c r="B210" s="8" t="s">
        <v>266</v>
      </c>
      <c r="C210" s="8" t="s">
        <v>267</v>
      </c>
      <c r="D210" s="8" t="s">
        <v>22</v>
      </c>
      <c r="E210" s="7" t="s">
        <v>23</v>
      </c>
      <c r="F210" s="7" t="s">
        <v>39</v>
      </c>
      <c r="G210" s="7" t="s">
        <v>40</v>
      </c>
      <c r="H210" s="8" t="n">
        <v>11</v>
      </c>
      <c r="I210" s="9" t="n">
        <v>3768.74</v>
      </c>
      <c r="J210" s="9" t="n">
        <f aca="false">H210*I210</f>
        <v>41456.14</v>
      </c>
      <c r="K210" s="10" t="n">
        <v>0.1</v>
      </c>
      <c r="L210" s="9" t="n">
        <f aca="false">J210*K210</f>
        <v>4145.614</v>
      </c>
      <c r="M210" s="9" t="n">
        <f aca="false">J210-L210</f>
        <v>37310.526</v>
      </c>
    </row>
    <row r="211" customFormat="false" ht="15.75" hidden="false" customHeight="true" outlineLevel="0" collapsed="false">
      <c r="A211" s="3" t="s">
        <v>280</v>
      </c>
      <c r="B211" s="4" t="s">
        <v>266</v>
      </c>
      <c r="C211" s="4" t="s">
        <v>267</v>
      </c>
      <c r="D211" s="4" t="s">
        <v>27</v>
      </c>
      <c r="E211" s="3" t="s">
        <v>38</v>
      </c>
      <c r="F211" s="3" t="s">
        <v>59</v>
      </c>
      <c r="G211" s="3" t="s">
        <v>95</v>
      </c>
      <c r="H211" s="4" t="n">
        <v>4</v>
      </c>
      <c r="I211" s="5" t="n">
        <v>1073.58</v>
      </c>
      <c r="J211" s="5" t="n">
        <f aca="false">H211*I211</f>
        <v>4294.32</v>
      </c>
      <c r="K211" s="6" t="n">
        <v>0.1</v>
      </c>
      <c r="L211" s="5" t="n">
        <f aca="false">J211*K211</f>
        <v>429.432</v>
      </c>
      <c r="M211" s="5" t="n">
        <f aca="false">J211-L211</f>
        <v>3864.888</v>
      </c>
    </row>
    <row r="212" customFormat="false" ht="15.75" hidden="false" customHeight="true" outlineLevel="0" collapsed="false">
      <c r="A212" s="7" t="s">
        <v>281</v>
      </c>
      <c r="B212" s="8" t="s">
        <v>266</v>
      </c>
      <c r="C212" s="8" t="s">
        <v>267</v>
      </c>
      <c r="D212" s="8" t="s">
        <v>27</v>
      </c>
      <c r="E212" s="7" t="s">
        <v>38</v>
      </c>
      <c r="F212" s="7" t="s">
        <v>59</v>
      </c>
      <c r="G212" s="7" t="s">
        <v>65</v>
      </c>
      <c r="H212" s="8" t="n">
        <v>10</v>
      </c>
      <c r="I212" s="9" t="n">
        <v>1555.97</v>
      </c>
      <c r="J212" s="9" t="n">
        <f aca="false">H212*I212</f>
        <v>15559.7</v>
      </c>
      <c r="K212" s="10" t="n">
        <v>0</v>
      </c>
      <c r="L212" s="9" t="n">
        <f aca="false">J212*K212</f>
        <v>0</v>
      </c>
      <c r="M212" s="9" t="n">
        <f aca="false">J212-L212</f>
        <v>15559.7</v>
      </c>
    </row>
    <row r="213" customFormat="false" ht="15.75" hidden="false" customHeight="true" outlineLevel="0" collapsed="false">
      <c r="A213" s="3" t="s">
        <v>282</v>
      </c>
      <c r="B213" s="4" t="s">
        <v>266</v>
      </c>
      <c r="C213" s="4" t="s">
        <v>267</v>
      </c>
      <c r="D213" s="4" t="s">
        <v>27</v>
      </c>
      <c r="E213" s="3" t="s">
        <v>28</v>
      </c>
      <c r="F213" s="3" t="s">
        <v>39</v>
      </c>
      <c r="G213" s="3" t="s">
        <v>73</v>
      </c>
      <c r="H213" s="4" t="n">
        <v>4</v>
      </c>
      <c r="I213" s="5" t="n">
        <v>5060.18</v>
      </c>
      <c r="J213" s="5" t="n">
        <f aca="false">H213*I213</f>
        <v>20240.72</v>
      </c>
      <c r="K213" s="6" t="n">
        <v>0</v>
      </c>
      <c r="L213" s="5" t="n">
        <f aca="false">J213*K213</f>
        <v>0</v>
      </c>
      <c r="M213" s="5" t="n">
        <f aca="false">J213-L213</f>
        <v>20240.72</v>
      </c>
    </row>
    <row r="214" customFormat="false" ht="15.75" hidden="false" customHeight="true" outlineLevel="0" collapsed="false">
      <c r="A214" s="7" t="s">
        <v>283</v>
      </c>
      <c r="B214" s="8" t="s">
        <v>266</v>
      </c>
      <c r="C214" s="8" t="s">
        <v>267</v>
      </c>
      <c r="D214" s="8" t="s">
        <v>31</v>
      </c>
      <c r="E214" s="7" t="s">
        <v>18</v>
      </c>
      <c r="F214" s="7" t="s">
        <v>39</v>
      </c>
      <c r="G214" s="7" t="s">
        <v>108</v>
      </c>
      <c r="H214" s="8" t="n">
        <v>4</v>
      </c>
      <c r="I214" s="9" t="n">
        <v>3677.2</v>
      </c>
      <c r="J214" s="9" t="n">
        <f aca="false">H214*I214</f>
        <v>14708.8</v>
      </c>
      <c r="K214" s="10" t="n">
        <v>0</v>
      </c>
      <c r="L214" s="9" t="n">
        <f aca="false">J214*K214</f>
        <v>0</v>
      </c>
      <c r="M214" s="9" t="n">
        <f aca="false">J214-L214</f>
        <v>14708.8</v>
      </c>
    </row>
    <row r="215" customFormat="false" ht="15.75" hidden="false" customHeight="true" outlineLevel="0" collapsed="false">
      <c r="A215" s="3" t="s">
        <v>284</v>
      </c>
      <c r="B215" s="4" t="s">
        <v>266</v>
      </c>
      <c r="C215" s="4" t="s">
        <v>267</v>
      </c>
      <c r="D215" s="4" t="s">
        <v>31</v>
      </c>
      <c r="E215" s="3" t="s">
        <v>67</v>
      </c>
      <c r="F215" s="3" t="s">
        <v>51</v>
      </c>
      <c r="G215" s="3" t="s">
        <v>81</v>
      </c>
      <c r="H215" s="4" t="n">
        <v>6</v>
      </c>
      <c r="I215" s="5" t="n">
        <v>3652.58</v>
      </c>
      <c r="J215" s="5" t="n">
        <f aca="false">H215*I215</f>
        <v>21915.48</v>
      </c>
      <c r="K215" s="6" t="n">
        <v>0.15</v>
      </c>
      <c r="L215" s="5" t="n">
        <f aca="false">J215*K215</f>
        <v>3287.322</v>
      </c>
      <c r="M215" s="5" t="n">
        <f aca="false">J215-L215</f>
        <v>18628.158</v>
      </c>
    </row>
    <row r="216" customFormat="false" ht="15.75" hidden="false" customHeight="true" outlineLevel="0" collapsed="false">
      <c r="A216" s="7" t="s">
        <v>285</v>
      </c>
      <c r="B216" s="8" t="s">
        <v>266</v>
      </c>
      <c r="C216" s="8" t="s">
        <v>267</v>
      </c>
      <c r="D216" s="8" t="s">
        <v>22</v>
      </c>
      <c r="E216" s="7" t="s">
        <v>44</v>
      </c>
      <c r="F216" s="7" t="s">
        <v>59</v>
      </c>
      <c r="G216" s="7" t="s">
        <v>86</v>
      </c>
      <c r="H216" s="8" t="n">
        <v>20</v>
      </c>
      <c r="I216" s="9" t="n">
        <v>1150.28</v>
      </c>
      <c r="J216" s="9" t="n">
        <f aca="false">H216*I216</f>
        <v>23005.6</v>
      </c>
      <c r="K216" s="10" t="n">
        <v>0.15</v>
      </c>
      <c r="L216" s="9" t="n">
        <f aca="false">J216*K216</f>
        <v>3450.84</v>
      </c>
      <c r="M216" s="9" t="n">
        <f aca="false">J216-L216</f>
        <v>19554.76</v>
      </c>
    </row>
    <row r="217" customFormat="false" ht="15.75" hidden="false" customHeight="true" outlineLevel="0" collapsed="false">
      <c r="A217" s="3" t="s">
        <v>286</v>
      </c>
      <c r="B217" s="4" t="s">
        <v>287</v>
      </c>
      <c r="C217" s="4" t="s">
        <v>267</v>
      </c>
      <c r="D217" s="4" t="s">
        <v>27</v>
      </c>
      <c r="E217" s="3" t="s">
        <v>32</v>
      </c>
      <c r="F217" s="3" t="s">
        <v>51</v>
      </c>
      <c r="G217" s="3" t="s">
        <v>54</v>
      </c>
      <c r="H217" s="4" t="n">
        <v>15</v>
      </c>
      <c r="I217" s="5" t="n">
        <v>3012.77</v>
      </c>
      <c r="J217" s="5" t="n">
        <f aca="false">H217*I217</f>
        <v>45191.55</v>
      </c>
      <c r="K217" s="6" t="n">
        <v>0.2</v>
      </c>
      <c r="L217" s="5" t="n">
        <f aca="false">J217*K217</f>
        <v>9038.31</v>
      </c>
      <c r="M217" s="5" t="n">
        <f aca="false">J217-L217</f>
        <v>36153.24</v>
      </c>
    </row>
    <row r="218" customFormat="false" ht="15.75" hidden="false" customHeight="true" outlineLevel="0" collapsed="false">
      <c r="A218" s="7" t="s">
        <v>288</v>
      </c>
      <c r="B218" s="8" t="s">
        <v>287</v>
      </c>
      <c r="C218" s="8" t="s">
        <v>267</v>
      </c>
      <c r="D218" s="8" t="s">
        <v>27</v>
      </c>
      <c r="E218" s="7" t="s">
        <v>35</v>
      </c>
      <c r="F218" s="7" t="s">
        <v>39</v>
      </c>
      <c r="G218" s="7" t="s">
        <v>62</v>
      </c>
      <c r="H218" s="8" t="n">
        <v>17</v>
      </c>
      <c r="I218" s="9" t="n">
        <v>3417.09</v>
      </c>
      <c r="J218" s="9" t="n">
        <f aca="false">H218*I218</f>
        <v>58090.53</v>
      </c>
      <c r="K218" s="10" t="n">
        <v>0.05</v>
      </c>
      <c r="L218" s="9" t="n">
        <f aca="false">J218*K218</f>
        <v>2904.5265</v>
      </c>
      <c r="M218" s="9" t="n">
        <f aca="false">J218-L218</f>
        <v>55186.0035</v>
      </c>
    </row>
    <row r="219" customFormat="false" ht="15.75" hidden="false" customHeight="true" outlineLevel="0" collapsed="false">
      <c r="A219" s="3" t="s">
        <v>289</v>
      </c>
      <c r="B219" s="4" t="s">
        <v>287</v>
      </c>
      <c r="C219" s="4" t="s">
        <v>267</v>
      </c>
      <c r="D219" s="4" t="s">
        <v>27</v>
      </c>
      <c r="E219" s="3" t="s">
        <v>35</v>
      </c>
      <c r="F219" s="3" t="s">
        <v>59</v>
      </c>
      <c r="G219" s="3" t="s">
        <v>75</v>
      </c>
      <c r="H219" s="4" t="n">
        <v>10</v>
      </c>
      <c r="I219" s="5" t="n">
        <v>913.66</v>
      </c>
      <c r="J219" s="5" t="n">
        <f aca="false">H219*I219</f>
        <v>9136.6</v>
      </c>
      <c r="K219" s="6" t="n">
        <v>0.2</v>
      </c>
      <c r="L219" s="5" t="n">
        <f aca="false">J219*K219</f>
        <v>1827.32</v>
      </c>
      <c r="M219" s="5" t="n">
        <f aca="false">J219-L219</f>
        <v>7309.28</v>
      </c>
    </row>
    <row r="220" customFormat="false" ht="15.75" hidden="false" customHeight="true" outlineLevel="0" collapsed="false">
      <c r="A220" s="7" t="s">
        <v>290</v>
      </c>
      <c r="B220" s="8" t="s">
        <v>287</v>
      </c>
      <c r="C220" s="8" t="s">
        <v>267</v>
      </c>
      <c r="D220" s="8" t="s">
        <v>22</v>
      </c>
      <c r="E220" s="7" t="s">
        <v>32</v>
      </c>
      <c r="F220" s="7" t="s">
        <v>19</v>
      </c>
      <c r="G220" s="7" t="s">
        <v>45</v>
      </c>
      <c r="H220" s="8" t="n">
        <v>19</v>
      </c>
      <c r="I220" s="9" t="n">
        <v>40020.86</v>
      </c>
      <c r="J220" s="9" t="n">
        <f aca="false">H220*I220</f>
        <v>760396.34</v>
      </c>
      <c r="K220" s="10" t="n">
        <v>0.2</v>
      </c>
      <c r="L220" s="9" t="n">
        <f aca="false">J220*K220</f>
        <v>152079.268</v>
      </c>
      <c r="M220" s="9" t="n">
        <f aca="false">J220-L220</f>
        <v>608317.072</v>
      </c>
    </row>
    <row r="221" customFormat="false" ht="15.75" hidden="false" customHeight="true" outlineLevel="0" collapsed="false">
      <c r="A221" s="3" t="s">
        <v>291</v>
      </c>
      <c r="B221" s="4" t="s">
        <v>287</v>
      </c>
      <c r="C221" s="4" t="s">
        <v>267</v>
      </c>
      <c r="D221" s="4" t="s">
        <v>31</v>
      </c>
      <c r="E221" s="3" t="s">
        <v>35</v>
      </c>
      <c r="F221" s="3" t="s">
        <v>19</v>
      </c>
      <c r="G221" s="3" t="s">
        <v>49</v>
      </c>
      <c r="H221" s="4" t="n">
        <v>20</v>
      </c>
      <c r="I221" s="5" t="n">
        <v>37817.61</v>
      </c>
      <c r="J221" s="5" t="n">
        <f aca="false">H221*I221</f>
        <v>756352.2</v>
      </c>
      <c r="K221" s="6" t="n">
        <v>0</v>
      </c>
      <c r="L221" s="5" t="n">
        <f aca="false">J221*K221</f>
        <v>0</v>
      </c>
      <c r="M221" s="5" t="n">
        <f aca="false">J221-L221</f>
        <v>756352.2</v>
      </c>
    </row>
    <row r="222" customFormat="false" ht="15.75" hidden="false" customHeight="true" outlineLevel="0" collapsed="false">
      <c r="A222" s="7" t="s">
        <v>292</v>
      </c>
      <c r="B222" s="8" t="s">
        <v>287</v>
      </c>
      <c r="C222" s="8" t="s">
        <v>267</v>
      </c>
      <c r="D222" s="8" t="s">
        <v>27</v>
      </c>
      <c r="E222" s="7" t="s">
        <v>35</v>
      </c>
      <c r="F222" s="7" t="s">
        <v>19</v>
      </c>
      <c r="G222" s="7" t="s">
        <v>49</v>
      </c>
      <c r="H222" s="8" t="n">
        <v>3</v>
      </c>
      <c r="I222" s="9" t="n">
        <v>38627.37</v>
      </c>
      <c r="J222" s="9" t="n">
        <f aca="false">H222*I222</f>
        <v>115882.11</v>
      </c>
      <c r="K222" s="10" t="n">
        <v>0</v>
      </c>
      <c r="L222" s="9" t="n">
        <f aca="false">J222*K222</f>
        <v>0</v>
      </c>
      <c r="M222" s="9" t="n">
        <f aca="false">J222-L222</f>
        <v>115882.11</v>
      </c>
    </row>
    <row r="223" customFormat="false" ht="15.75" hidden="false" customHeight="true" outlineLevel="0" collapsed="false">
      <c r="A223" s="3" t="s">
        <v>293</v>
      </c>
      <c r="B223" s="4" t="s">
        <v>287</v>
      </c>
      <c r="C223" s="4" t="s">
        <v>267</v>
      </c>
      <c r="D223" s="4" t="s">
        <v>22</v>
      </c>
      <c r="E223" s="3" t="s">
        <v>32</v>
      </c>
      <c r="F223" s="3" t="s">
        <v>19</v>
      </c>
      <c r="G223" s="3" t="s">
        <v>36</v>
      </c>
      <c r="H223" s="4" t="n">
        <v>17</v>
      </c>
      <c r="I223" s="5" t="n">
        <v>39136.94</v>
      </c>
      <c r="J223" s="5" t="n">
        <f aca="false">H223*I223</f>
        <v>665327.98</v>
      </c>
      <c r="K223" s="6" t="n">
        <v>0</v>
      </c>
      <c r="L223" s="5" t="n">
        <f aca="false">J223*K223</f>
        <v>0</v>
      </c>
      <c r="M223" s="5" t="n">
        <f aca="false">J223-L223</f>
        <v>665327.98</v>
      </c>
    </row>
    <row r="224" customFormat="false" ht="15.75" hidden="false" customHeight="true" outlineLevel="0" collapsed="false">
      <c r="A224" s="7" t="s">
        <v>294</v>
      </c>
      <c r="B224" s="8" t="s">
        <v>287</v>
      </c>
      <c r="C224" s="8" t="s">
        <v>267</v>
      </c>
      <c r="D224" s="8" t="s">
        <v>17</v>
      </c>
      <c r="E224" s="7" t="s">
        <v>38</v>
      </c>
      <c r="F224" s="7" t="s">
        <v>39</v>
      </c>
      <c r="G224" s="7" t="s">
        <v>108</v>
      </c>
      <c r="H224" s="8" t="n">
        <v>14</v>
      </c>
      <c r="I224" s="9" t="n">
        <v>5938.07</v>
      </c>
      <c r="J224" s="9" t="n">
        <f aca="false">H224*I224</f>
        <v>83132.98</v>
      </c>
      <c r="K224" s="10" t="n">
        <v>0.15</v>
      </c>
      <c r="L224" s="9" t="n">
        <f aca="false">J224*K224</f>
        <v>12469.947</v>
      </c>
      <c r="M224" s="9" t="n">
        <f aca="false">J224-L224</f>
        <v>70663.033</v>
      </c>
    </row>
    <row r="225" customFormat="false" ht="15.75" hidden="false" customHeight="true" outlineLevel="0" collapsed="false">
      <c r="A225" s="3" t="s">
        <v>295</v>
      </c>
      <c r="B225" s="4" t="s">
        <v>287</v>
      </c>
      <c r="C225" s="4" t="s">
        <v>267</v>
      </c>
      <c r="D225" s="4" t="s">
        <v>17</v>
      </c>
      <c r="E225" s="3" t="s">
        <v>67</v>
      </c>
      <c r="F225" s="3" t="s">
        <v>24</v>
      </c>
      <c r="G225" s="3" t="s">
        <v>25</v>
      </c>
      <c r="H225" s="4" t="n">
        <v>11</v>
      </c>
      <c r="I225" s="5" t="n">
        <v>620.48</v>
      </c>
      <c r="J225" s="5" t="n">
        <f aca="false">H225*I225</f>
        <v>6825.28</v>
      </c>
      <c r="K225" s="6" t="n">
        <v>0.15</v>
      </c>
      <c r="L225" s="5" t="n">
        <f aca="false">J225*K225</f>
        <v>1023.792</v>
      </c>
      <c r="M225" s="5" t="n">
        <f aca="false">J225-L225</f>
        <v>5801.488</v>
      </c>
    </row>
    <row r="226" customFormat="false" ht="15.75" hidden="false" customHeight="true" outlineLevel="0" collapsed="false">
      <c r="A226" s="7" t="s">
        <v>296</v>
      </c>
      <c r="B226" s="8" t="s">
        <v>287</v>
      </c>
      <c r="C226" s="8" t="s">
        <v>267</v>
      </c>
      <c r="D226" s="8" t="s">
        <v>17</v>
      </c>
      <c r="E226" s="7" t="s">
        <v>44</v>
      </c>
      <c r="F226" s="7" t="s">
        <v>59</v>
      </c>
      <c r="G226" s="7" t="s">
        <v>95</v>
      </c>
      <c r="H226" s="8" t="n">
        <v>5</v>
      </c>
      <c r="I226" s="9" t="n">
        <v>1160.03</v>
      </c>
      <c r="J226" s="9" t="n">
        <f aca="false">H226*I226</f>
        <v>5800.15</v>
      </c>
      <c r="K226" s="10" t="n">
        <v>0.1</v>
      </c>
      <c r="L226" s="9" t="n">
        <f aca="false">J226*K226</f>
        <v>580.015</v>
      </c>
      <c r="M226" s="9" t="n">
        <f aca="false">J226-L226</f>
        <v>5220.135</v>
      </c>
    </row>
    <row r="227" customFormat="false" ht="15.75" hidden="false" customHeight="true" outlineLevel="0" collapsed="false">
      <c r="A227" s="3" t="s">
        <v>297</v>
      </c>
      <c r="B227" s="4" t="s">
        <v>287</v>
      </c>
      <c r="C227" s="4" t="s">
        <v>267</v>
      </c>
      <c r="D227" s="4" t="s">
        <v>17</v>
      </c>
      <c r="E227" s="3" t="s">
        <v>38</v>
      </c>
      <c r="F227" s="3" t="s">
        <v>51</v>
      </c>
      <c r="G227" s="3" t="s">
        <v>52</v>
      </c>
      <c r="H227" s="4" t="n">
        <v>5</v>
      </c>
      <c r="I227" s="5" t="n">
        <v>2940.08</v>
      </c>
      <c r="J227" s="5" t="n">
        <f aca="false">H227*I227</f>
        <v>14700.4</v>
      </c>
      <c r="K227" s="6" t="n">
        <v>0</v>
      </c>
      <c r="L227" s="5" t="n">
        <f aca="false">J227*K227</f>
        <v>0</v>
      </c>
      <c r="M227" s="5" t="n">
        <f aca="false">J227-L227</f>
        <v>14700.4</v>
      </c>
    </row>
    <row r="228" customFormat="false" ht="15.75" hidden="false" customHeight="true" outlineLevel="0" collapsed="false">
      <c r="A228" s="7" t="s">
        <v>298</v>
      </c>
      <c r="B228" s="8" t="s">
        <v>287</v>
      </c>
      <c r="C228" s="8" t="s">
        <v>267</v>
      </c>
      <c r="D228" s="8" t="s">
        <v>22</v>
      </c>
      <c r="E228" s="7" t="s">
        <v>35</v>
      </c>
      <c r="F228" s="7" t="s">
        <v>39</v>
      </c>
      <c r="G228" s="7" t="s">
        <v>62</v>
      </c>
      <c r="H228" s="8" t="n">
        <v>5</v>
      </c>
      <c r="I228" s="9" t="n">
        <v>5562.42</v>
      </c>
      <c r="J228" s="9" t="n">
        <f aca="false">H228*I228</f>
        <v>27812.1</v>
      </c>
      <c r="K228" s="10" t="n">
        <v>0.2</v>
      </c>
      <c r="L228" s="9" t="n">
        <f aca="false">J228*K228</f>
        <v>5562.42</v>
      </c>
      <c r="M228" s="9" t="n">
        <f aca="false">J228-L228</f>
        <v>22249.68</v>
      </c>
    </row>
    <row r="229" customFormat="false" ht="15.75" hidden="false" customHeight="true" outlineLevel="0" collapsed="false">
      <c r="A229" s="3" t="s">
        <v>299</v>
      </c>
      <c r="B229" s="4" t="s">
        <v>287</v>
      </c>
      <c r="C229" s="4" t="s">
        <v>267</v>
      </c>
      <c r="D229" s="4" t="s">
        <v>22</v>
      </c>
      <c r="E229" s="3" t="s">
        <v>28</v>
      </c>
      <c r="F229" s="3" t="s">
        <v>24</v>
      </c>
      <c r="G229" s="3" t="s">
        <v>25</v>
      </c>
      <c r="H229" s="4" t="n">
        <v>12</v>
      </c>
      <c r="I229" s="5" t="n">
        <v>571.67</v>
      </c>
      <c r="J229" s="5" t="n">
        <f aca="false">H229*I229</f>
        <v>6860.04</v>
      </c>
      <c r="K229" s="6" t="n">
        <v>0</v>
      </c>
      <c r="L229" s="5" t="n">
        <f aca="false">J229*K229</f>
        <v>0</v>
      </c>
      <c r="M229" s="5" t="n">
        <f aca="false">J229-L229</f>
        <v>6860.04</v>
      </c>
    </row>
    <row r="230" customFormat="false" ht="15.75" hidden="false" customHeight="true" outlineLevel="0" collapsed="false">
      <c r="A230" s="7" t="s">
        <v>300</v>
      </c>
      <c r="B230" s="8" t="s">
        <v>287</v>
      </c>
      <c r="C230" s="8" t="s">
        <v>267</v>
      </c>
      <c r="D230" s="8" t="s">
        <v>17</v>
      </c>
      <c r="E230" s="7" t="s">
        <v>32</v>
      </c>
      <c r="F230" s="7" t="s">
        <v>51</v>
      </c>
      <c r="G230" s="7" t="s">
        <v>92</v>
      </c>
      <c r="H230" s="8" t="n">
        <v>7</v>
      </c>
      <c r="I230" s="9" t="n">
        <v>2203.09</v>
      </c>
      <c r="J230" s="9" t="n">
        <f aca="false">H230*I230</f>
        <v>15421.63</v>
      </c>
      <c r="K230" s="10" t="n">
        <v>0</v>
      </c>
      <c r="L230" s="9" t="n">
        <f aca="false">J230*K230</f>
        <v>0</v>
      </c>
      <c r="M230" s="9" t="n">
        <f aca="false">J230-L230</f>
        <v>15421.63</v>
      </c>
    </row>
    <row r="231" customFormat="false" ht="15.75" hidden="false" customHeight="true" outlineLevel="0" collapsed="false">
      <c r="A231" s="3" t="s">
        <v>301</v>
      </c>
      <c r="B231" s="4" t="s">
        <v>287</v>
      </c>
      <c r="C231" s="4" t="s">
        <v>267</v>
      </c>
      <c r="D231" s="4" t="s">
        <v>17</v>
      </c>
      <c r="E231" s="3" t="s">
        <v>67</v>
      </c>
      <c r="F231" s="3" t="s">
        <v>51</v>
      </c>
      <c r="G231" s="3" t="s">
        <v>83</v>
      </c>
      <c r="H231" s="4" t="n">
        <v>17</v>
      </c>
      <c r="I231" s="5" t="n">
        <v>3291.75</v>
      </c>
      <c r="J231" s="5" t="n">
        <f aca="false">H231*I231</f>
        <v>55959.75</v>
      </c>
      <c r="K231" s="6" t="n">
        <v>0.2</v>
      </c>
      <c r="L231" s="5" t="n">
        <f aca="false">J231*K231</f>
        <v>11191.95</v>
      </c>
      <c r="M231" s="5" t="n">
        <f aca="false">J231-L231</f>
        <v>44767.8</v>
      </c>
    </row>
    <row r="232" customFormat="false" ht="15.75" hidden="false" customHeight="true" outlineLevel="0" collapsed="false">
      <c r="A232" s="7" t="s">
        <v>302</v>
      </c>
      <c r="B232" s="8" t="s">
        <v>287</v>
      </c>
      <c r="C232" s="8" t="s">
        <v>267</v>
      </c>
      <c r="D232" s="8" t="s">
        <v>17</v>
      </c>
      <c r="E232" s="7" t="s">
        <v>44</v>
      </c>
      <c r="F232" s="7" t="s">
        <v>24</v>
      </c>
      <c r="G232" s="7" t="s">
        <v>25</v>
      </c>
      <c r="H232" s="8" t="n">
        <v>5</v>
      </c>
      <c r="I232" s="9" t="n">
        <v>942.24</v>
      </c>
      <c r="J232" s="9" t="n">
        <f aca="false">H232*I232</f>
        <v>4711.2</v>
      </c>
      <c r="K232" s="10" t="n">
        <v>0</v>
      </c>
      <c r="L232" s="9" t="n">
        <f aca="false">J232*K232</f>
        <v>0</v>
      </c>
      <c r="M232" s="9" t="n">
        <f aca="false">J232-L232</f>
        <v>4711.2</v>
      </c>
    </row>
    <row r="233" customFormat="false" ht="15.75" hidden="false" customHeight="true" outlineLevel="0" collapsed="false">
      <c r="A233" s="3" t="s">
        <v>303</v>
      </c>
      <c r="B233" s="4" t="s">
        <v>287</v>
      </c>
      <c r="C233" s="4" t="s">
        <v>267</v>
      </c>
      <c r="D233" s="4" t="s">
        <v>31</v>
      </c>
      <c r="E233" s="3" t="s">
        <v>32</v>
      </c>
      <c r="F233" s="3" t="s">
        <v>51</v>
      </c>
      <c r="G233" s="3" t="s">
        <v>92</v>
      </c>
      <c r="H233" s="4" t="n">
        <v>2</v>
      </c>
      <c r="I233" s="5" t="n">
        <v>2571.72</v>
      </c>
      <c r="J233" s="5" t="n">
        <f aca="false">H233*I233</f>
        <v>5143.44</v>
      </c>
      <c r="K233" s="6" t="n">
        <v>0.15</v>
      </c>
      <c r="L233" s="5" t="n">
        <f aca="false">J233*K233</f>
        <v>771.516</v>
      </c>
      <c r="M233" s="5" t="n">
        <f aca="false">J233-L233</f>
        <v>4371.924</v>
      </c>
    </row>
    <row r="234" customFormat="false" ht="15.75" hidden="false" customHeight="true" outlineLevel="0" collapsed="false">
      <c r="A234" s="7" t="s">
        <v>304</v>
      </c>
      <c r="B234" s="8" t="s">
        <v>287</v>
      </c>
      <c r="C234" s="8" t="s">
        <v>267</v>
      </c>
      <c r="D234" s="8" t="s">
        <v>17</v>
      </c>
      <c r="E234" s="7" t="s">
        <v>32</v>
      </c>
      <c r="F234" s="7" t="s">
        <v>51</v>
      </c>
      <c r="G234" s="7" t="s">
        <v>54</v>
      </c>
      <c r="H234" s="8" t="n">
        <v>8</v>
      </c>
      <c r="I234" s="9" t="n">
        <v>2818.02</v>
      </c>
      <c r="J234" s="9" t="n">
        <f aca="false">H234*I234</f>
        <v>22544.16</v>
      </c>
      <c r="K234" s="10" t="n">
        <v>0</v>
      </c>
      <c r="L234" s="9" t="n">
        <f aca="false">J234*K234</f>
        <v>0</v>
      </c>
      <c r="M234" s="9" t="n">
        <f aca="false">J234-L234</f>
        <v>22544.16</v>
      </c>
    </row>
    <row r="235" customFormat="false" ht="15.75" hidden="false" customHeight="true" outlineLevel="0" collapsed="false">
      <c r="A235" s="3" t="s">
        <v>305</v>
      </c>
      <c r="B235" s="4" t="s">
        <v>287</v>
      </c>
      <c r="C235" s="4" t="s">
        <v>267</v>
      </c>
      <c r="D235" s="4" t="s">
        <v>17</v>
      </c>
      <c r="E235" s="3" t="s">
        <v>44</v>
      </c>
      <c r="F235" s="3" t="s">
        <v>59</v>
      </c>
      <c r="G235" s="3" t="s">
        <v>60</v>
      </c>
      <c r="H235" s="4" t="n">
        <v>15</v>
      </c>
      <c r="I235" s="5" t="n">
        <v>1283.21</v>
      </c>
      <c r="J235" s="5" t="n">
        <f aca="false">H235*I235</f>
        <v>19248.15</v>
      </c>
      <c r="K235" s="6" t="n">
        <v>0</v>
      </c>
      <c r="L235" s="5" t="n">
        <f aca="false">J235*K235</f>
        <v>0</v>
      </c>
      <c r="M235" s="5" t="n">
        <f aca="false">J235-L235</f>
        <v>19248.15</v>
      </c>
    </row>
    <row r="236" customFormat="false" ht="15.75" hidden="false" customHeight="true" outlineLevel="0" collapsed="false">
      <c r="A236" s="7" t="s">
        <v>306</v>
      </c>
      <c r="B236" s="8" t="s">
        <v>287</v>
      </c>
      <c r="C236" s="8" t="s">
        <v>267</v>
      </c>
      <c r="D236" s="8" t="s">
        <v>22</v>
      </c>
      <c r="E236" s="7" t="s">
        <v>58</v>
      </c>
      <c r="F236" s="7" t="s">
        <v>59</v>
      </c>
      <c r="G236" s="7" t="s">
        <v>65</v>
      </c>
      <c r="H236" s="8" t="n">
        <v>7</v>
      </c>
      <c r="I236" s="9" t="n">
        <v>1609.21</v>
      </c>
      <c r="J236" s="9" t="n">
        <f aca="false">H236*I236</f>
        <v>11264.47</v>
      </c>
      <c r="K236" s="10" t="n">
        <v>0</v>
      </c>
      <c r="L236" s="9" t="n">
        <f aca="false">J236*K236</f>
        <v>0</v>
      </c>
      <c r="M236" s="9" t="n">
        <f aca="false">J236-L236</f>
        <v>11264.47</v>
      </c>
    </row>
    <row r="237" customFormat="false" ht="15.75" hidden="false" customHeight="true" outlineLevel="0" collapsed="false">
      <c r="A237" s="3" t="s">
        <v>307</v>
      </c>
      <c r="B237" s="4" t="s">
        <v>308</v>
      </c>
      <c r="C237" s="4" t="s">
        <v>267</v>
      </c>
      <c r="D237" s="4" t="s">
        <v>17</v>
      </c>
      <c r="E237" s="3" t="s">
        <v>28</v>
      </c>
      <c r="F237" s="3" t="s">
        <v>19</v>
      </c>
      <c r="G237" s="3" t="s">
        <v>49</v>
      </c>
      <c r="H237" s="4" t="n">
        <v>4</v>
      </c>
      <c r="I237" s="5" t="n">
        <v>44419.23</v>
      </c>
      <c r="J237" s="5" t="n">
        <f aca="false">H237*I237</f>
        <v>177676.92</v>
      </c>
      <c r="K237" s="6" t="n">
        <v>0.1</v>
      </c>
      <c r="L237" s="5" t="n">
        <f aca="false">J237*K237</f>
        <v>17767.692</v>
      </c>
      <c r="M237" s="5" t="n">
        <f aca="false">J237-L237</f>
        <v>159909.228</v>
      </c>
    </row>
    <row r="238" customFormat="false" ht="15.75" hidden="false" customHeight="true" outlineLevel="0" collapsed="false">
      <c r="A238" s="7" t="s">
        <v>309</v>
      </c>
      <c r="B238" s="8" t="s">
        <v>308</v>
      </c>
      <c r="C238" s="8" t="s">
        <v>267</v>
      </c>
      <c r="D238" s="8" t="s">
        <v>27</v>
      </c>
      <c r="E238" s="7" t="s">
        <v>58</v>
      </c>
      <c r="F238" s="7" t="s">
        <v>19</v>
      </c>
      <c r="G238" s="7" t="s">
        <v>155</v>
      </c>
      <c r="H238" s="8" t="n">
        <v>9</v>
      </c>
      <c r="I238" s="9" t="n">
        <v>37080.94</v>
      </c>
      <c r="J238" s="9" t="n">
        <f aca="false">H238*I238</f>
        <v>333728.46</v>
      </c>
      <c r="K238" s="10" t="n">
        <v>0.1</v>
      </c>
      <c r="L238" s="9" t="n">
        <f aca="false">J238*K238</f>
        <v>33372.846</v>
      </c>
      <c r="M238" s="9" t="n">
        <f aca="false">J238-L238</f>
        <v>300355.614</v>
      </c>
    </row>
    <row r="239" customFormat="false" ht="15.75" hidden="false" customHeight="true" outlineLevel="0" collapsed="false">
      <c r="A239" s="3" t="s">
        <v>310</v>
      </c>
      <c r="B239" s="4" t="s">
        <v>308</v>
      </c>
      <c r="C239" s="4" t="s">
        <v>267</v>
      </c>
      <c r="D239" s="4" t="s">
        <v>27</v>
      </c>
      <c r="E239" s="3" t="s">
        <v>18</v>
      </c>
      <c r="F239" s="3" t="s">
        <v>51</v>
      </c>
      <c r="G239" s="3" t="s">
        <v>54</v>
      </c>
      <c r="H239" s="4" t="n">
        <v>15</v>
      </c>
      <c r="I239" s="5" t="n">
        <v>3519.26</v>
      </c>
      <c r="J239" s="5" t="n">
        <f aca="false">H239*I239</f>
        <v>52788.9</v>
      </c>
      <c r="K239" s="6" t="n">
        <v>0</v>
      </c>
      <c r="L239" s="5" t="n">
        <f aca="false">J239*K239</f>
        <v>0</v>
      </c>
      <c r="M239" s="5" t="n">
        <f aca="false">J239-L239</f>
        <v>52788.9</v>
      </c>
    </row>
    <row r="240" customFormat="false" ht="15.75" hidden="false" customHeight="true" outlineLevel="0" collapsed="false">
      <c r="A240" s="7" t="s">
        <v>311</v>
      </c>
      <c r="B240" s="8" t="s">
        <v>308</v>
      </c>
      <c r="C240" s="8" t="s">
        <v>267</v>
      </c>
      <c r="D240" s="8" t="s">
        <v>22</v>
      </c>
      <c r="E240" s="7" t="s">
        <v>28</v>
      </c>
      <c r="F240" s="7" t="s">
        <v>59</v>
      </c>
      <c r="G240" s="7" t="s">
        <v>75</v>
      </c>
      <c r="H240" s="8" t="n">
        <v>12</v>
      </c>
      <c r="I240" s="9" t="n">
        <v>1066.35</v>
      </c>
      <c r="J240" s="9" t="n">
        <f aca="false">H240*I240</f>
        <v>12796.2</v>
      </c>
      <c r="K240" s="10" t="n">
        <v>0</v>
      </c>
      <c r="L240" s="9" t="n">
        <f aca="false">J240*K240</f>
        <v>0</v>
      </c>
      <c r="M240" s="9" t="n">
        <f aca="false">J240-L240</f>
        <v>12796.2</v>
      </c>
    </row>
    <row r="241" customFormat="false" ht="15.75" hidden="false" customHeight="true" outlineLevel="0" collapsed="false">
      <c r="A241" s="3" t="s">
        <v>312</v>
      </c>
      <c r="B241" s="4" t="s">
        <v>308</v>
      </c>
      <c r="C241" s="4" t="s">
        <v>267</v>
      </c>
      <c r="D241" s="4" t="s">
        <v>27</v>
      </c>
      <c r="E241" s="3" t="s">
        <v>35</v>
      </c>
      <c r="F241" s="3" t="s">
        <v>39</v>
      </c>
      <c r="G241" s="3" t="s">
        <v>73</v>
      </c>
      <c r="H241" s="4" t="n">
        <v>4</v>
      </c>
      <c r="I241" s="5" t="n">
        <v>6171.03</v>
      </c>
      <c r="J241" s="5" t="n">
        <f aca="false">H241*I241</f>
        <v>24684.12</v>
      </c>
      <c r="K241" s="6" t="n">
        <v>0.15</v>
      </c>
      <c r="L241" s="5" t="n">
        <f aca="false">J241*K241</f>
        <v>3702.618</v>
      </c>
      <c r="M241" s="5" t="n">
        <f aca="false">J241-L241</f>
        <v>20981.502</v>
      </c>
    </row>
    <row r="242" customFormat="false" ht="15.75" hidden="false" customHeight="true" outlineLevel="0" collapsed="false">
      <c r="A242" s="7" t="s">
        <v>313</v>
      </c>
      <c r="B242" s="8" t="s">
        <v>308</v>
      </c>
      <c r="C242" s="8" t="s">
        <v>267</v>
      </c>
      <c r="D242" s="8" t="s">
        <v>31</v>
      </c>
      <c r="E242" s="7" t="s">
        <v>23</v>
      </c>
      <c r="F242" s="7" t="s">
        <v>39</v>
      </c>
      <c r="G242" s="7" t="s">
        <v>73</v>
      </c>
      <c r="H242" s="8" t="n">
        <v>10</v>
      </c>
      <c r="I242" s="9" t="n">
        <v>6452.63</v>
      </c>
      <c r="J242" s="9" t="n">
        <f aca="false">H242*I242</f>
        <v>64526.3</v>
      </c>
      <c r="K242" s="10" t="n">
        <v>0.05</v>
      </c>
      <c r="L242" s="9" t="n">
        <f aca="false">J242*K242</f>
        <v>3226.315</v>
      </c>
      <c r="M242" s="9" t="n">
        <f aca="false">J242-L242</f>
        <v>61299.985</v>
      </c>
    </row>
    <row r="243" customFormat="false" ht="15.75" hidden="false" customHeight="true" outlineLevel="0" collapsed="false">
      <c r="A243" s="3" t="s">
        <v>314</v>
      </c>
      <c r="B243" s="4" t="s">
        <v>308</v>
      </c>
      <c r="C243" s="4" t="s">
        <v>267</v>
      </c>
      <c r="D243" s="4" t="s">
        <v>22</v>
      </c>
      <c r="E243" s="3" t="s">
        <v>44</v>
      </c>
      <c r="F243" s="3" t="s">
        <v>51</v>
      </c>
      <c r="G243" s="3" t="s">
        <v>54</v>
      </c>
      <c r="H243" s="4" t="n">
        <v>1</v>
      </c>
      <c r="I243" s="5" t="n">
        <v>3561.71</v>
      </c>
      <c r="J243" s="5" t="n">
        <f aca="false">H243*I243</f>
        <v>3561.71</v>
      </c>
      <c r="K243" s="6" t="n">
        <v>0</v>
      </c>
      <c r="L243" s="5" t="n">
        <f aca="false">J243*K243</f>
        <v>0</v>
      </c>
      <c r="M243" s="5" t="n">
        <f aca="false">J243-L243</f>
        <v>3561.71</v>
      </c>
    </row>
    <row r="244" customFormat="false" ht="15.75" hidden="false" customHeight="true" outlineLevel="0" collapsed="false">
      <c r="A244" s="7" t="s">
        <v>315</v>
      </c>
      <c r="B244" s="8" t="s">
        <v>308</v>
      </c>
      <c r="C244" s="8" t="s">
        <v>267</v>
      </c>
      <c r="D244" s="8" t="s">
        <v>31</v>
      </c>
      <c r="E244" s="7" t="s">
        <v>28</v>
      </c>
      <c r="F244" s="7" t="s">
        <v>39</v>
      </c>
      <c r="G244" s="7" t="s">
        <v>73</v>
      </c>
      <c r="H244" s="8" t="n">
        <v>20</v>
      </c>
      <c r="I244" s="9" t="n">
        <v>5049.98</v>
      </c>
      <c r="J244" s="9" t="n">
        <f aca="false">H244*I244</f>
        <v>100999.6</v>
      </c>
      <c r="K244" s="10" t="n">
        <v>0</v>
      </c>
      <c r="L244" s="9" t="n">
        <f aca="false">J244*K244</f>
        <v>0</v>
      </c>
      <c r="M244" s="9" t="n">
        <f aca="false">J244-L244</f>
        <v>100999.6</v>
      </c>
    </row>
    <row r="245" customFormat="false" ht="15.75" hidden="false" customHeight="true" outlineLevel="0" collapsed="false">
      <c r="A245" s="3" t="s">
        <v>316</v>
      </c>
      <c r="B245" s="4" t="s">
        <v>308</v>
      </c>
      <c r="C245" s="4" t="s">
        <v>267</v>
      </c>
      <c r="D245" s="4" t="s">
        <v>17</v>
      </c>
      <c r="E245" s="3" t="s">
        <v>67</v>
      </c>
      <c r="F245" s="3" t="s">
        <v>39</v>
      </c>
      <c r="G245" s="3" t="s">
        <v>73</v>
      </c>
      <c r="H245" s="4" t="n">
        <v>2</v>
      </c>
      <c r="I245" s="5" t="n">
        <v>4008.38</v>
      </c>
      <c r="J245" s="5" t="n">
        <f aca="false">H245*I245</f>
        <v>8016.76</v>
      </c>
      <c r="K245" s="6" t="n">
        <v>0.15</v>
      </c>
      <c r="L245" s="5" t="n">
        <f aca="false">J245*K245</f>
        <v>1202.514</v>
      </c>
      <c r="M245" s="5" t="n">
        <f aca="false">J245-L245</f>
        <v>6814.246</v>
      </c>
    </row>
    <row r="246" customFormat="false" ht="15.75" hidden="false" customHeight="true" outlineLevel="0" collapsed="false">
      <c r="A246" s="7" t="s">
        <v>317</v>
      </c>
      <c r="B246" s="8" t="s">
        <v>308</v>
      </c>
      <c r="C246" s="8" t="s">
        <v>267</v>
      </c>
      <c r="D246" s="8" t="s">
        <v>27</v>
      </c>
      <c r="E246" s="7" t="s">
        <v>67</v>
      </c>
      <c r="F246" s="7" t="s">
        <v>24</v>
      </c>
      <c r="G246" s="7" t="s">
        <v>33</v>
      </c>
      <c r="H246" s="8" t="n">
        <v>16</v>
      </c>
      <c r="I246" s="9" t="n">
        <v>941.91</v>
      </c>
      <c r="J246" s="9" t="n">
        <f aca="false">H246*I246</f>
        <v>15070.56</v>
      </c>
      <c r="K246" s="10" t="n">
        <v>0</v>
      </c>
      <c r="L246" s="9" t="n">
        <f aca="false">J246*K246</f>
        <v>0</v>
      </c>
      <c r="M246" s="9" t="n">
        <f aca="false">J246-L246</f>
        <v>15070.56</v>
      </c>
    </row>
    <row r="247" customFormat="false" ht="15.75" hidden="false" customHeight="true" outlineLevel="0" collapsed="false">
      <c r="A247" s="3" t="s">
        <v>318</v>
      </c>
      <c r="B247" s="4" t="s">
        <v>308</v>
      </c>
      <c r="C247" s="4" t="s">
        <v>267</v>
      </c>
      <c r="D247" s="4" t="s">
        <v>31</v>
      </c>
      <c r="E247" s="3" t="s">
        <v>58</v>
      </c>
      <c r="F247" s="3" t="s">
        <v>24</v>
      </c>
      <c r="G247" s="3" t="s">
        <v>29</v>
      </c>
      <c r="H247" s="4" t="n">
        <v>10</v>
      </c>
      <c r="I247" s="5" t="n">
        <v>834.71</v>
      </c>
      <c r="J247" s="5" t="n">
        <f aca="false">H247*I247</f>
        <v>8347.1</v>
      </c>
      <c r="K247" s="6" t="n">
        <v>0.1</v>
      </c>
      <c r="L247" s="5" t="n">
        <f aca="false">J247*K247</f>
        <v>834.71</v>
      </c>
      <c r="M247" s="5" t="n">
        <f aca="false">J247-L247</f>
        <v>7512.39</v>
      </c>
    </row>
    <row r="248" customFormat="false" ht="15.75" hidden="false" customHeight="true" outlineLevel="0" collapsed="false">
      <c r="A248" s="7" t="s">
        <v>319</v>
      </c>
      <c r="B248" s="8" t="s">
        <v>308</v>
      </c>
      <c r="C248" s="8" t="s">
        <v>267</v>
      </c>
      <c r="D248" s="8" t="s">
        <v>22</v>
      </c>
      <c r="E248" s="7" t="s">
        <v>58</v>
      </c>
      <c r="F248" s="7" t="s">
        <v>39</v>
      </c>
      <c r="G248" s="7" t="s">
        <v>73</v>
      </c>
      <c r="H248" s="8" t="n">
        <v>3</v>
      </c>
      <c r="I248" s="9" t="n">
        <v>5034.54</v>
      </c>
      <c r="J248" s="9" t="n">
        <f aca="false">H248*I248</f>
        <v>15103.62</v>
      </c>
      <c r="K248" s="10" t="n">
        <v>0</v>
      </c>
      <c r="L248" s="9" t="n">
        <f aca="false">J248*K248</f>
        <v>0</v>
      </c>
      <c r="M248" s="9" t="n">
        <f aca="false">J248-L248</f>
        <v>15103.62</v>
      </c>
    </row>
    <row r="249" customFormat="false" ht="15.75" hidden="false" customHeight="true" outlineLevel="0" collapsed="false">
      <c r="A249" s="3" t="s">
        <v>320</v>
      </c>
      <c r="B249" s="4" t="s">
        <v>308</v>
      </c>
      <c r="C249" s="4" t="s">
        <v>267</v>
      </c>
      <c r="D249" s="4" t="s">
        <v>27</v>
      </c>
      <c r="E249" s="3" t="s">
        <v>38</v>
      </c>
      <c r="F249" s="3" t="s">
        <v>19</v>
      </c>
      <c r="G249" s="3" t="s">
        <v>45</v>
      </c>
      <c r="H249" s="4" t="n">
        <v>16</v>
      </c>
      <c r="I249" s="5" t="n">
        <v>25718.96</v>
      </c>
      <c r="J249" s="5" t="n">
        <f aca="false">H249*I249</f>
        <v>411503.36</v>
      </c>
      <c r="K249" s="6" t="n">
        <v>0.05</v>
      </c>
      <c r="L249" s="5" t="n">
        <f aca="false">J249*K249</f>
        <v>20575.168</v>
      </c>
      <c r="M249" s="5" t="n">
        <f aca="false">J249-L249</f>
        <v>390928.192</v>
      </c>
    </row>
    <row r="250" customFormat="false" ht="15.75" hidden="false" customHeight="true" outlineLevel="0" collapsed="false">
      <c r="A250" s="7" t="s">
        <v>321</v>
      </c>
      <c r="B250" s="8" t="s">
        <v>308</v>
      </c>
      <c r="C250" s="8" t="s">
        <v>267</v>
      </c>
      <c r="D250" s="8" t="s">
        <v>27</v>
      </c>
      <c r="E250" s="7" t="s">
        <v>35</v>
      </c>
      <c r="F250" s="7" t="s">
        <v>39</v>
      </c>
      <c r="G250" s="7" t="s">
        <v>108</v>
      </c>
      <c r="H250" s="8" t="n">
        <v>3</v>
      </c>
      <c r="I250" s="9" t="n">
        <v>4391.29</v>
      </c>
      <c r="J250" s="9" t="n">
        <f aca="false">H250*I250</f>
        <v>13173.87</v>
      </c>
      <c r="K250" s="10" t="n">
        <v>0.15</v>
      </c>
      <c r="L250" s="9" t="n">
        <f aca="false">J250*K250</f>
        <v>1976.0805</v>
      </c>
      <c r="M250" s="9" t="n">
        <f aca="false">J250-L250</f>
        <v>11197.7895</v>
      </c>
    </row>
    <row r="251" customFormat="false" ht="15.75" hidden="false" customHeight="true" outlineLevel="0" collapsed="false">
      <c r="A251" s="3" t="s">
        <v>322</v>
      </c>
      <c r="B251" s="4" t="s">
        <v>308</v>
      </c>
      <c r="C251" s="4" t="s">
        <v>267</v>
      </c>
      <c r="D251" s="4" t="s">
        <v>17</v>
      </c>
      <c r="E251" s="3" t="s">
        <v>58</v>
      </c>
      <c r="F251" s="3" t="s">
        <v>19</v>
      </c>
      <c r="G251" s="3" t="s">
        <v>45</v>
      </c>
      <c r="H251" s="4" t="n">
        <v>2</v>
      </c>
      <c r="I251" s="5" t="n">
        <v>34364.37</v>
      </c>
      <c r="J251" s="5" t="n">
        <f aca="false">H251*I251</f>
        <v>68728.74</v>
      </c>
      <c r="K251" s="6" t="n">
        <v>0</v>
      </c>
      <c r="L251" s="5" t="n">
        <f aca="false">J251*K251</f>
        <v>0</v>
      </c>
      <c r="M251" s="5" t="n">
        <f aca="false">J251-L251</f>
        <v>68728.74</v>
      </c>
    </row>
    <row r="252" customFormat="false" ht="15.75" hidden="false" customHeight="true" outlineLevel="0" collapsed="false">
      <c r="A252" s="7" t="s">
        <v>323</v>
      </c>
      <c r="B252" s="8" t="s">
        <v>308</v>
      </c>
      <c r="C252" s="8" t="s">
        <v>267</v>
      </c>
      <c r="D252" s="8" t="s">
        <v>22</v>
      </c>
      <c r="E252" s="7" t="s">
        <v>58</v>
      </c>
      <c r="F252" s="7" t="s">
        <v>51</v>
      </c>
      <c r="G252" s="7" t="s">
        <v>54</v>
      </c>
      <c r="H252" s="8" t="n">
        <v>5</v>
      </c>
      <c r="I252" s="9" t="n">
        <v>1876.2</v>
      </c>
      <c r="J252" s="9" t="n">
        <f aca="false">H252*I252</f>
        <v>9381</v>
      </c>
      <c r="K252" s="10" t="n">
        <v>0.2</v>
      </c>
      <c r="L252" s="9" t="n">
        <f aca="false">J252*K252</f>
        <v>1876.2</v>
      </c>
      <c r="M252" s="9" t="n">
        <f aca="false">J252-L252</f>
        <v>7504.8</v>
      </c>
    </row>
    <row r="253" customFormat="false" ht="15.75" hidden="false" customHeight="true" outlineLevel="0" collapsed="false">
      <c r="A253" s="3" t="s">
        <v>324</v>
      </c>
      <c r="B253" s="4" t="s">
        <v>308</v>
      </c>
      <c r="C253" s="4" t="s">
        <v>267</v>
      </c>
      <c r="D253" s="4" t="s">
        <v>17</v>
      </c>
      <c r="E253" s="3" t="s">
        <v>18</v>
      </c>
      <c r="F253" s="3" t="s">
        <v>59</v>
      </c>
      <c r="G253" s="3" t="s">
        <v>75</v>
      </c>
      <c r="H253" s="4" t="n">
        <v>2</v>
      </c>
      <c r="I253" s="5" t="n">
        <v>1599.46</v>
      </c>
      <c r="J253" s="5" t="n">
        <f aca="false">H253*I253</f>
        <v>3198.92</v>
      </c>
      <c r="K253" s="6" t="n">
        <v>0</v>
      </c>
      <c r="L253" s="5" t="n">
        <f aca="false">J253*K253</f>
        <v>0</v>
      </c>
      <c r="M253" s="5" t="n">
        <f aca="false">J253-L253</f>
        <v>3198.92</v>
      </c>
    </row>
    <row r="254" customFormat="false" ht="15.75" hidden="false" customHeight="true" outlineLevel="0" collapsed="false">
      <c r="A254" s="7" t="s">
        <v>325</v>
      </c>
      <c r="B254" s="8" t="s">
        <v>308</v>
      </c>
      <c r="C254" s="8" t="s">
        <v>267</v>
      </c>
      <c r="D254" s="8" t="s">
        <v>22</v>
      </c>
      <c r="E254" s="7" t="s">
        <v>28</v>
      </c>
      <c r="F254" s="7" t="s">
        <v>39</v>
      </c>
      <c r="G254" s="7" t="s">
        <v>108</v>
      </c>
      <c r="H254" s="8" t="n">
        <v>16</v>
      </c>
      <c r="I254" s="9" t="n">
        <v>4061.93</v>
      </c>
      <c r="J254" s="9" t="n">
        <f aca="false">H254*I254</f>
        <v>64990.88</v>
      </c>
      <c r="K254" s="10" t="n">
        <v>0.2</v>
      </c>
      <c r="L254" s="9" t="n">
        <f aca="false">J254*K254</f>
        <v>12998.176</v>
      </c>
      <c r="M254" s="9" t="n">
        <f aca="false">J254-L254</f>
        <v>51992.704</v>
      </c>
    </row>
    <row r="255" customFormat="false" ht="15.75" hidden="false" customHeight="true" outlineLevel="0" collapsed="false">
      <c r="A255" s="3" t="s">
        <v>326</v>
      </c>
      <c r="B255" s="4" t="s">
        <v>308</v>
      </c>
      <c r="C255" s="4" t="s">
        <v>267</v>
      </c>
      <c r="D255" s="4" t="s">
        <v>17</v>
      </c>
      <c r="E255" s="3" t="s">
        <v>23</v>
      </c>
      <c r="F255" s="3" t="s">
        <v>51</v>
      </c>
      <c r="G255" s="3" t="s">
        <v>52</v>
      </c>
      <c r="H255" s="4" t="n">
        <v>11</v>
      </c>
      <c r="I255" s="5" t="n">
        <v>2296.43</v>
      </c>
      <c r="J255" s="5" t="n">
        <f aca="false">H255*I255</f>
        <v>25260.73</v>
      </c>
      <c r="K255" s="6" t="n">
        <v>0.2</v>
      </c>
      <c r="L255" s="5" t="n">
        <f aca="false">J255*K255</f>
        <v>5052.146</v>
      </c>
      <c r="M255" s="5" t="n">
        <f aca="false">J255-L255</f>
        <v>20208.584</v>
      </c>
    </row>
    <row r="256" customFormat="false" ht="15" hidden="false" customHeight="false" outlineLevel="0" collapsed="false">
      <c r="A256" s="11" t="s">
        <v>327</v>
      </c>
      <c r="B256" s="11"/>
      <c r="C256" s="11"/>
      <c r="D256" s="11"/>
      <c r="E256" s="11"/>
      <c r="F256" s="11"/>
      <c r="G256" s="11"/>
      <c r="H256" s="12" t="n">
        <f aca="false">SUM(H3:H255)</f>
        <v>2506</v>
      </c>
      <c r="I256" s="11"/>
      <c r="J256" s="12" t="n">
        <f aca="false">SUM(J3:J255)</f>
        <v>21646396.76</v>
      </c>
      <c r="K256" s="11"/>
      <c r="L256" s="12" t="n">
        <f aca="false">SUM(L3:L255)</f>
        <v>1422210.204</v>
      </c>
      <c r="M256" s="12" t="n">
        <f aca="false">SUM(M3:M255)</f>
        <v>20224186.556</v>
      </c>
    </row>
  </sheetData>
  <mergeCells count="1">
    <mergeCell ref="A1:M1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G15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2" topLeftCell="A3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0"/>
    <col collapsed="false" customWidth="true" hidden="false" outlineLevel="0" max="3" min="2" style="0" width="9"/>
    <col collapsed="false" customWidth="true" hidden="false" outlineLevel="0" max="4" min="4" style="0" width="13"/>
    <col collapsed="false" customWidth="true" hidden="false" outlineLevel="0" max="6" min="5" style="0" width="18"/>
    <col collapsed="false" customWidth="true" hidden="false" outlineLevel="0" max="7" min="7" style="0" width="20"/>
  </cols>
  <sheetData>
    <row r="1" customFormat="false" ht="34.5" hidden="false" customHeight="true" outlineLevel="0" collapsed="false">
      <c r="A1" s="1" t="s">
        <v>328</v>
      </c>
      <c r="B1" s="1"/>
      <c r="C1" s="1"/>
      <c r="D1" s="1"/>
      <c r="E1" s="1"/>
      <c r="F1" s="1"/>
      <c r="G1" s="1"/>
    </row>
    <row r="2" customFormat="false" ht="19.5" hidden="false" customHeight="true" outlineLevel="0" collapsed="false">
      <c r="A2" s="2" t="s">
        <v>2</v>
      </c>
      <c r="B2" s="2" t="s">
        <v>3</v>
      </c>
      <c r="C2" s="2" t="s">
        <v>329</v>
      </c>
      <c r="D2" s="2" t="s">
        <v>8</v>
      </c>
      <c r="E2" s="2" t="s">
        <v>10</v>
      </c>
      <c r="F2" s="2" t="s">
        <v>13</v>
      </c>
      <c r="G2" s="2" t="s">
        <v>330</v>
      </c>
    </row>
    <row r="3" customFormat="false" ht="18" hidden="false" customHeight="true" outlineLevel="0" collapsed="false">
      <c r="A3" s="4" t="s">
        <v>15</v>
      </c>
      <c r="B3" s="4" t="s">
        <v>16</v>
      </c>
      <c r="C3" s="5" t="n">
        <f aca="false">COUNTIF('Sales Data'!B:B,A3)</f>
        <v>25</v>
      </c>
      <c r="D3" s="5" t="n">
        <f aca="false">SUMIF('Sales Data'!B:B,A3,'Sales Data'!H:H)</f>
        <v>257</v>
      </c>
      <c r="E3" s="5" t="n">
        <f aca="false">SUMIF('Sales Data'!B:B,A3,'Sales Data'!J:J)</f>
        <v>2336597.5</v>
      </c>
      <c r="F3" s="5" t="n">
        <f aca="false">SUMIF('Sales Data'!B:B,A3,'Sales Data'!M:M)</f>
        <v>2164277.051</v>
      </c>
      <c r="G3" s="5" t="n">
        <f aca="false">IFERROR(F3/C3,0)</f>
        <v>86571.08204</v>
      </c>
    </row>
    <row r="4" customFormat="false" ht="18" hidden="false" customHeight="true" outlineLevel="0" collapsed="false">
      <c r="A4" s="8" t="s">
        <v>77</v>
      </c>
      <c r="B4" s="8" t="s">
        <v>16</v>
      </c>
      <c r="C4" s="9" t="n">
        <f aca="false">COUNTIF('Sales Data'!B:B,A4)</f>
        <v>19</v>
      </c>
      <c r="D4" s="9" t="n">
        <f aca="false">SUMIF('Sales Data'!B:B,A4,'Sales Data'!H:H)</f>
        <v>197</v>
      </c>
      <c r="E4" s="9" t="n">
        <f aca="false">SUMIF('Sales Data'!B:B,A4,'Sales Data'!J:J)</f>
        <v>1335069.47</v>
      </c>
      <c r="F4" s="9" t="n">
        <f aca="false">SUMIF('Sales Data'!B:B,A4,'Sales Data'!M:M)</f>
        <v>1174613.1625</v>
      </c>
      <c r="G4" s="9" t="n">
        <f aca="false">IFERROR(F4/C4,0)</f>
        <v>61821.7453947369</v>
      </c>
    </row>
    <row r="5" customFormat="false" ht="18" hidden="false" customHeight="true" outlineLevel="0" collapsed="false">
      <c r="A5" s="4" t="s">
        <v>102</v>
      </c>
      <c r="B5" s="4" t="s">
        <v>16</v>
      </c>
      <c r="C5" s="5" t="n">
        <f aca="false">COUNTIF('Sales Data'!B:B,A5)</f>
        <v>18</v>
      </c>
      <c r="D5" s="5" t="n">
        <f aca="false">SUMIF('Sales Data'!B:B,A5,'Sales Data'!H:H)</f>
        <v>181</v>
      </c>
      <c r="E5" s="5" t="n">
        <f aca="false">SUMIF('Sales Data'!B:B,A5,'Sales Data'!J:J)</f>
        <v>1488808.87</v>
      </c>
      <c r="F5" s="5" t="n">
        <f aca="false">SUMIF('Sales Data'!B:B,A5,'Sales Data'!M:M)</f>
        <v>1446848.918</v>
      </c>
      <c r="G5" s="5" t="n">
        <f aca="false">IFERROR(F5/C5,0)</f>
        <v>80380.4954444444</v>
      </c>
    </row>
    <row r="6" customFormat="false" ht="18" hidden="false" customHeight="true" outlineLevel="0" collapsed="false">
      <c r="A6" s="8" t="s">
        <v>124</v>
      </c>
      <c r="B6" s="8" t="s">
        <v>125</v>
      </c>
      <c r="C6" s="9" t="n">
        <f aca="false">COUNTIF('Sales Data'!B:B,A6)</f>
        <v>15</v>
      </c>
      <c r="D6" s="9" t="n">
        <f aca="false">SUMIF('Sales Data'!B:B,A6,'Sales Data'!H:H)</f>
        <v>188</v>
      </c>
      <c r="E6" s="9" t="n">
        <f aca="false">SUMIF('Sales Data'!B:B,A6,'Sales Data'!J:J)</f>
        <v>1147551.6</v>
      </c>
      <c r="F6" s="9" t="n">
        <f aca="false">SUMIF('Sales Data'!B:B,A6,'Sales Data'!M:M)</f>
        <v>1025029.787</v>
      </c>
      <c r="G6" s="9" t="n">
        <f aca="false">IFERROR(F6/C6,0)</f>
        <v>68335.3191333333</v>
      </c>
    </row>
    <row r="7" customFormat="false" ht="18" hidden="false" customHeight="true" outlineLevel="0" collapsed="false">
      <c r="A7" s="4" t="s">
        <v>141</v>
      </c>
      <c r="B7" s="4" t="s">
        <v>125</v>
      </c>
      <c r="C7" s="5" t="n">
        <f aca="false">COUNTIF('Sales Data'!B:B,A7)</f>
        <v>22</v>
      </c>
      <c r="D7" s="5" t="n">
        <f aca="false">SUMIF('Sales Data'!B:B,A7,'Sales Data'!H:H)</f>
        <v>204</v>
      </c>
      <c r="E7" s="5" t="n">
        <f aca="false">SUMIF('Sales Data'!B:B,A7,'Sales Data'!J:J)</f>
        <v>2142133.32</v>
      </c>
      <c r="F7" s="5" t="n">
        <f aca="false">SUMIF('Sales Data'!B:B,A7,'Sales Data'!M:M)</f>
        <v>2005790.845</v>
      </c>
      <c r="G7" s="5" t="n">
        <f aca="false">IFERROR(F7/C7,0)</f>
        <v>91172.3111363636</v>
      </c>
    </row>
    <row r="8" customFormat="false" ht="18" hidden="false" customHeight="true" outlineLevel="0" collapsed="false">
      <c r="A8" s="8" t="s">
        <v>165</v>
      </c>
      <c r="B8" s="8" t="s">
        <v>125</v>
      </c>
      <c r="C8" s="9" t="n">
        <f aca="false">COUNTIF('Sales Data'!B:B,A8)</f>
        <v>24</v>
      </c>
      <c r="D8" s="9" t="n">
        <f aca="false">SUMIF('Sales Data'!B:B,A8,'Sales Data'!H:H)</f>
        <v>257</v>
      </c>
      <c r="E8" s="9" t="n">
        <f aca="false">SUMIF('Sales Data'!B:B,A8,'Sales Data'!J:J)</f>
        <v>2000131.86</v>
      </c>
      <c r="F8" s="9" t="n">
        <f aca="false">SUMIF('Sales Data'!B:B,A8,'Sales Data'!M:M)</f>
        <v>1940719.5015</v>
      </c>
      <c r="G8" s="9" t="n">
        <f aca="false">IFERROR(F8/C8,0)</f>
        <v>80863.3125625</v>
      </c>
    </row>
    <row r="9" customFormat="false" ht="18" hidden="false" customHeight="true" outlineLevel="0" collapsed="false">
      <c r="A9" s="4" t="s">
        <v>190</v>
      </c>
      <c r="B9" s="4" t="s">
        <v>191</v>
      </c>
      <c r="C9" s="5" t="n">
        <f aca="false">COUNTIF('Sales Data'!B:B,A9)</f>
        <v>24</v>
      </c>
      <c r="D9" s="5" t="n">
        <f aca="false">SUMIF('Sales Data'!B:B,A9,'Sales Data'!H:H)</f>
        <v>249</v>
      </c>
      <c r="E9" s="5" t="n">
        <f aca="false">SUMIF('Sales Data'!B:B,A9,'Sales Data'!J:J)</f>
        <v>1299351.99</v>
      </c>
      <c r="F9" s="5" t="n">
        <f aca="false">SUMIF('Sales Data'!B:B,A9,'Sales Data'!M:M)</f>
        <v>1227907.9845</v>
      </c>
      <c r="G9" s="5" t="n">
        <f aca="false">IFERROR(F9/C9,0)</f>
        <v>51162.8326875</v>
      </c>
    </row>
    <row r="10" customFormat="false" ht="18" hidden="false" customHeight="true" outlineLevel="0" collapsed="false">
      <c r="A10" s="8" t="s">
        <v>216</v>
      </c>
      <c r="B10" s="8" t="s">
        <v>191</v>
      </c>
      <c r="C10" s="9" t="n">
        <f aca="false">COUNTIF('Sales Data'!B:B,A10)</f>
        <v>23</v>
      </c>
      <c r="D10" s="9" t="n">
        <f aca="false">SUMIF('Sales Data'!B:B,A10,'Sales Data'!H:H)</f>
        <v>204</v>
      </c>
      <c r="E10" s="9" t="n">
        <f aca="false">SUMIF('Sales Data'!B:B,A10,'Sales Data'!J:J)</f>
        <v>2794877.96</v>
      </c>
      <c r="F10" s="9" t="n">
        <f aca="false">SUMIF('Sales Data'!B:B,A10,'Sales Data'!M:M)</f>
        <v>2585682.162</v>
      </c>
      <c r="G10" s="9" t="n">
        <f aca="false">IFERROR(F10/C10,0)</f>
        <v>112420.963565217</v>
      </c>
    </row>
    <row r="11" customFormat="false" ht="18" hidden="false" customHeight="true" outlineLevel="0" collapsed="false">
      <c r="A11" s="4" t="s">
        <v>240</v>
      </c>
      <c r="B11" s="4" t="s">
        <v>191</v>
      </c>
      <c r="C11" s="5" t="n">
        <f aca="false">COUNTIF('Sales Data'!B:B,A11)</f>
        <v>25</v>
      </c>
      <c r="D11" s="5" t="n">
        <f aca="false">SUMIF('Sales Data'!B:B,A11,'Sales Data'!H:H)</f>
        <v>223</v>
      </c>
      <c r="E11" s="5" t="n">
        <f aca="false">SUMIF('Sales Data'!B:B,A11,'Sales Data'!J:J)</f>
        <v>1098249.41</v>
      </c>
      <c r="F11" s="5" t="n">
        <f aca="false">SUMIF('Sales Data'!B:B,A11,'Sales Data'!M:M)</f>
        <v>1055042.036</v>
      </c>
      <c r="G11" s="5" t="n">
        <f aca="false">IFERROR(F11/C11,0)</f>
        <v>42201.68144</v>
      </c>
    </row>
    <row r="12" customFormat="false" ht="18" hidden="false" customHeight="true" outlineLevel="0" collapsed="false">
      <c r="A12" s="8" t="s">
        <v>266</v>
      </c>
      <c r="B12" s="8" t="s">
        <v>267</v>
      </c>
      <c r="C12" s="9" t="n">
        <f aca="false">COUNTIF('Sales Data'!B:B,A12)</f>
        <v>19</v>
      </c>
      <c r="D12" s="9" t="n">
        <f aca="false">SUMIF('Sales Data'!B:B,A12,'Sales Data'!H:H)</f>
        <v>171</v>
      </c>
      <c r="E12" s="9" t="n">
        <f aca="false">SUMIF('Sales Data'!B:B,A12,'Sales Data'!J:J)</f>
        <v>1900285.97</v>
      </c>
      <c r="F12" s="9" t="n">
        <f aca="false">SUMIF('Sales Data'!B:B,A12,'Sales Data'!M:M)</f>
        <v>1794969.8285</v>
      </c>
      <c r="G12" s="9" t="n">
        <f aca="false">IFERROR(F12/C12,0)</f>
        <v>94472.0962368421</v>
      </c>
    </row>
    <row r="13" customFormat="false" ht="18" hidden="false" customHeight="true" outlineLevel="0" collapsed="false">
      <c r="A13" s="4" t="s">
        <v>287</v>
      </c>
      <c r="B13" s="4" t="s">
        <v>267</v>
      </c>
      <c r="C13" s="5" t="n">
        <f aca="false">COUNTIF('Sales Data'!B:B,A13)</f>
        <v>20</v>
      </c>
      <c r="D13" s="5" t="n">
        <f aca="false">SUMIF('Sales Data'!B:B,A13,'Sales Data'!H:H)</f>
        <v>214</v>
      </c>
      <c r="E13" s="5" t="n">
        <f aca="false">SUMIF('Sales Data'!B:B,A13,'Sales Data'!J:J)</f>
        <v>2689801.06</v>
      </c>
      <c r="F13" s="5" t="n">
        <f aca="false">SUMIF('Sales Data'!B:B,A13,'Sales Data'!M:M)</f>
        <v>2492351.9955</v>
      </c>
      <c r="G13" s="5" t="n">
        <f aca="false">IFERROR(F13/C13,0)</f>
        <v>124617.599775</v>
      </c>
    </row>
    <row r="14" customFormat="false" ht="18" hidden="false" customHeight="true" outlineLevel="0" collapsed="false">
      <c r="A14" s="8" t="s">
        <v>308</v>
      </c>
      <c r="B14" s="8" t="s">
        <v>267</v>
      </c>
      <c r="C14" s="9" t="n">
        <f aca="false">COUNTIF('Sales Data'!B:B,A14)</f>
        <v>19</v>
      </c>
      <c r="D14" s="9" t="n">
        <f aca="false">SUMIF('Sales Data'!B:B,A14,'Sales Data'!H:H)</f>
        <v>161</v>
      </c>
      <c r="E14" s="9" t="n">
        <f aca="false">SUMIF('Sales Data'!B:B,A14,'Sales Data'!J:J)</f>
        <v>1413537.75</v>
      </c>
      <c r="F14" s="9" t="n">
        <f aca="false">SUMIF('Sales Data'!B:B,A14,'Sales Data'!M:M)</f>
        <v>1310953.2845</v>
      </c>
      <c r="G14" s="9" t="n">
        <f aca="false">IFERROR(F14/C14,0)</f>
        <v>68997.5412894737</v>
      </c>
    </row>
    <row r="15" customFormat="false" ht="15" hidden="false" customHeight="false" outlineLevel="0" collapsed="false">
      <c r="A15" s="11" t="s">
        <v>331</v>
      </c>
      <c r="B15" s="11"/>
      <c r="C15" s="12" t="n">
        <f aca="false">SUM(C3:C14)</f>
        <v>253</v>
      </c>
      <c r="D15" s="12" t="n">
        <f aca="false">SUM(D3:D14)</f>
        <v>2506</v>
      </c>
      <c r="E15" s="12" t="n">
        <f aca="false">SUM(E3:E14)</f>
        <v>21646396.76</v>
      </c>
      <c r="F15" s="12" t="n">
        <f aca="false">SUM(F3:F14)</f>
        <v>20224186.556</v>
      </c>
      <c r="G15" s="12" t="n">
        <f aca="false">SUM(G3:G14)</f>
        <v>963016.980705411</v>
      </c>
    </row>
  </sheetData>
  <mergeCells count="1">
    <mergeCell ref="A1:G1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8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2" topLeftCell="A3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7"/>
    <col collapsed="false" customWidth="true" hidden="false" outlineLevel="0" max="2" min="2" style="0" width="9"/>
    <col collapsed="false" customWidth="true" hidden="false" outlineLevel="0" max="3" min="3" style="0" width="13"/>
    <col collapsed="false" customWidth="true" hidden="false" outlineLevel="0" max="6" min="4" style="0" width="18"/>
  </cols>
  <sheetData>
    <row r="1" customFormat="false" ht="34.5" hidden="false" customHeight="true" outlineLevel="0" collapsed="false">
      <c r="A1" s="1" t="s">
        <v>332</v>
      </c>
      <c r="B1" s="1"/>
      <c r="C1" s="1"/>
      <c r="D1" s="1"/>
      <c r="E1" s="1"/>
      <c r="F1" s="1"/>
    </row>
    <row r="2" customFormat="false" ht="19.5" hidden="false" customHeight="true" outlineLevel="0" collapsed="false">
      <c r="A2" s="2" t="s">
        <v>6</v>
      </c>
      <c r="B2" s="2" t="s">
        <v>329</v>
      </c>
      <c r="C2" s="2" t="s">
        <v>8</v>
      </c>
      <c r="D2" s="2" t="s">
        <v>10</v>
      </c>
      <c r="E2" s="2" t="s">
        <v>13</v>
      </c>
      <c r="F2" s="2" t="s">
        <v>333</v>
      </c>
    </row>
    <row r="3" customFormat="false" ht="18" hidden="false" customHeight="true" outlineLevel="0" collapsed="false">
      <c r="A3" s="3" t="s">
        <v>19</v>
      </c>
      <c r="B3" s="5" t="n">
        <f aca="false">COUNTIF('Sales Data'!F:F,A3)</f>
        <v>46</v>
      </c>
      <c r="C3" s="5" t="n">
        <f aca="false">SUMIF('Sales Data'!F:F,A3,'Sales Data'!H:H)</f>
        <v>464</v>
      </c>
      <c r="D3" s="5" t="n">
        <f aca="false">SUMIF('Sales Data'!F:F,A3,'Sales Data'!J:J)</f>
        <v>16867806.89</v>
      </c>
      <c r="E3" s="5" t="n">
        <f aca="false">SUMIF('Sales Data'!F:F,A3,'Sales Data'!M:M)</f>
        <v>15807710.2655</v>
      </c>
      <c r="F3" s="6" t="n">
        <f aca="false">IFERROR(E3/SUM(E3:E7),0)</f>
        <v>0.781624033269722</v>
      </c>
    </row>
    <row r="4" customFormat="false" ht="18" hidden="false" customHeight="true" outlineLevel="0" collapsed="false">
      <c r="A4" s="7" t="s">
        <v>51</v>
      </c>
      <c r="B4" s="9" t="n">
        <f aca="false">COUNTIF('Sales Data'!F:F,A4)</f>
        <v>43</v>
      </c>
      <c r="C4" s="9" t="n">
        <f aca="false">SUMIF('Sales Data'!F:F,A4,'Sales Data'!H:H)</f>
        <v>354</v>
      </c>
      <c r="D4" s="9" t="n">
        <f aca="false">SUMIF('Sales Data'!F:F,A4,'Sales Data'!J:J)</f>
        <v>986491.51</v>
      </c>
      <c r="E4" s="9" t="n">
        <f aca="false">SUMIF('Sales Data'!F:F,A4,'Sales Data'!M:M)</f>
        <v>907584.2265</v>
      </c>
      <c r="F4" s="10" t="n">
        <f aca="false">IFERROR(E4/SUM(E3:E7),0)</f>
        <v>0.044876179518367</v>
      </c>
    </row>
    <row r="5" customFormat="false" ht="18" hidden="false" customHeight="true" outlineLevel="0" collapsed="false">
      <c r="A5" s="3" t="s">
        <v>39</v>
      </c>
      <c r="B5" s="5" t="n">
        <f aca="false">COUNTIF('Sales Data'!F:F,A5)</f>
        <v>55</v>
      </c>
      <c r="C5" s="5" t="n">
        <f aca="false">SUMIF('Sales Data'!F:F,A5,'Sales Data'!H:H)</f>
        <v>493</v>
      </c>
      <c r="D5" s="5" t="n">
        <f aca="false">SUMIF('Sales Data'!F:F,A5,'Sales Data'!J:J)</f>
        <v>2489066.19</v>
      </c>
      <c r="E5" s="5" t="n">
        <f aca="false">SUMIF('Sales Data'!F:F,A5,'Sales Data'!M:M)</f>
        <v>2300968.436</v>
      </c>
      <c r="F5" s="6" t="n">
        <f aca="false">IFERROR(E5/SUM(E3:E7),0)</f>
        <v>0.113773101807022</v>
      </c>
    </row>
    <row r="6" customFormat="false" ht="18" hidden="false" customHeight="true" outlineLevel="0" collapsed="false">
      <c r="A6" s="7" t="s">
        <v>59</v>
      </c>
      <c r="B6" s="9" t="n">
        <f aca="false">COUNTIF('Sales Data'!F:F,A6)</f>
        <v>54</v>
      </c>
      <c r="C6" s="9" t="n">
        <f aca="false">SUMIF('Sales Data'!F:F,A6,'Sales Data'!H:H)</f>
        <v>611</v>
      </c>
      <c r="D6" s="9" t="n">
        <f aca="false">SUMIF('Sales Data'!F:F,A6,'Sales Data'!J:J)</f>
        <v>807971.61</v>
      </c>
      <c r="E6" s="9" t="n">
        <f aca="false">SUMIF('Sales Data'!F:F,A6,'Sales Data'!M:M)</f>
        <v>751344.7285</v>
      </c>
      <c r="F6" s="10" t="n">
        <f aca="false">IFERROR(E6/SUM(E3:E7),0)</f>
        <v>0.0371508009194612</v>
      </c>
    </row>
    <row r="7" customFormat="false" ht="18" hidden="false" customHeight="true" outlineLevel="0" collapsed="false">
      <c r="A7" s="3" t="s">
        <v>24</v>
      </c>
      <c r="B7" s="5" t="n">
        <f aca="false">COUNTIF('Sales Data'!F:F,A7)</f>
        <v>55</v>
      </c>
      <c r="C7" s="5" t="n">
        <f aca="false">SUMIF('Sales Data'!F:F,A7,'Sales Data'!H:H)</f>
        <v>584</v>
      </c>
      <c r="D7" s="5" t="n">
        <f aca="false">SUMIF('Sales Data'!F:F,A7,'Sales Data'!J:J)</f>
        <v>495060.56</v>
      </c>
      <c r="E7" s="5" t="n">
        <f aca="false">SUMIF('Sales Data'!F:F,A7,'Sales Data'!M:M)</f>
        <v>456578.8995</v>
      </c>
      <c r="F7" s="6" t="n">
        <f aca="false">IFERROR(E7/SUM(E3:E7),0)</f>
        <v>0.0225758844854279</v>
      </c>
    </row>
    <row r="8" customFormat="false" ht="15" hidden="false" customHeight="false" outlineLevel="0" collapsed="false">
      <c r="A8" s="11" t="s">
        <v>327</v>
      </c>
      <c r="B8" s="12" t="n">
        <f aca="false">SUM(B3:B7)</f>
        <v>253</v>
      </c>
      <c r="C8" s="12" t="n">
        <f aca="false">SUM(C3:C7)</f>
        <v>2506</v>
      </c>
      <c r="D8" s="12" t="n">
        <f aca="false">SUM(D3:D7)</f>
        <v>21646396.76</v>
      </c>
      <c r="E8" s="12" t="n">
        <f aca="false">SUM(E3:E7)</f>
        <v>20224186.556</v>
      </c>
      <c r="F8" s="13" t="n">
        <f aca="false">SUM(F3:F7)</f>
        <v>1</v>
      </c>
    </row>
  </sheetData>
  <mergeCells count="1">
    <mergeCell ref="A1:F1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7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2" topLeftCell="A3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2"/>
    <col collapsed="false" customWidth="true" hidden="false" outlineLevel="0" max="2" min="2" style="0" width="9"/>
    <col collapsed="false" customWidth="true" hidden="false" outlineLevel="0" max="3" min="3" style="0" width="13"/>
    <col collapsed="false" customWidth="true" hidden="false" outlineLevel="0" max="6" min="4" style="0" width="18"/>
  </cols>
  <sheetData>
    <row r="1" customFormat="false" ht="34.5" hidden="false" customHeight="true" outlineLevel="0" collapsed="false">
      <c r="A1" s="1" t="s">
        <v>334</v>
      </c>
      <c r="B1" s="1"/>
      <c r="C1" s="1"/>
      <c r="D1" s="1"/>
      <c r="E1" s="1"/>
      <c r="F1" s="1"/>
    </row>
    <row r="2" customFormat="false" ht="19.5" hidden="false" customHeight="true" outlineLevel="0" collapsed="false">
      <c r="A2" s="2" t="s">
        <v>4</v>
      </c>
      <c r="B2" s="2" t="s">
        <v>329</v>
      </c>
      <c r="C2" s="2" t="s">
        <v>8</v>
      </c>
      <c r="D2" s="2" t="s">
        <v>10</v>
      </c>
      <c r="E2" s="2" t="s">
        <v>13</v>
      </c>
      <c r="F2" s="2" t="s">
        <v>333</v>
      </c>
    </row>
    <row r="3" customFormat="false" ht="18" hidden="false" customHeight="true" outlineLevel="0" collapsed="false">
      <c r="A3" s="3" t="s">
        <v>27</v>
      </c>
      <c r="B3" s="5" t="n">
        <f aca="false">COUNTIF('Sales Data'!D:D,A3)</f>
        <v>62</v>
      </c>
      <c r="C3" s="5" t="n">
        <f aca="false">SUMIF('Sales Data'!D:D,A3,'Sales Data'!H:H)</f>
        <v>614</v>
      </c>
      <c r="D3" s="5" t="n">
        <f aca="false">SUMIF('Sales Data'!D:D,A3,'Sales Data'!J:J)</f>
        <v>3754096.66</v>
      </c>
      <c r="E3" s="5" t="n">
        <f aca="false">SUMIF('Sales Data'!D:D,A3,'Sales Data'!M:M)</f>
        <v>3547199.956</v>
      </c>
      <c r="F3" s="6" t="n">
        <f aca="false">IFERROR(E3/SUM(E3:E6),0)</f>
        <v>0.175393949525631</v>
      </c>
    </row>
    <row r="4" customFormat="false" ht="18" hidden="false" customHeight="true" outlineLevel="0" collapsed="false">
      <c r="A4" s="7" t="s">
        <v>31</v>
      </c>
      <c r="B4" s="9" t="n">
        <f aca="false">COUNTIF('Sales Data'!D:D,A4)</f>
        <v>59</v>
      </c>
      <c r="C4" s="9" t="n">
        <f aca="false">SUMIF('Sales Data'!D:D,A4,'Sales Data'!H:H)</f>
        <v>543</v>
      </c>
      <c r="D4" s="9" t="n">
        <f aca="false">SUMIF('Sales Data'!D:D,A4,'Sales Data'!J:J)</f>
        <v>3678275.46</v>
      </c>
      <c r="E4" s="9" t="n">
        <f aca="false">SUMIF('Sales Data'!D:D,A4,'Sales Data'!M:M)</f>
        <v>3512764.8125</v>
      </c>
      <c r="F4" s="10" t="n">
        <f aca="false">IFERROR(E4/SUM(E3:E6),0)</f>
        <v>0.173691278152191</v>
      </c>
    </row>
    <row r="5" customFormat="false" ht="18" hidden="false" customHeight="true" outlineLevel="0" collapsed="false">
      <c r="A5" s="3" t="s">
        <v>17</v>
      </c>
      <c r="B5" s="5" t="n">
        <f aca="false">COUNTIF('Sales Data'!D:D,A5)</f>
        <v>65</v>
      </c>
      <c r="C5" s="5" t="n">
        <f aca="false">SUMIF('Sales Data'!D:D,A5,'Sales Data'!H:H)</f>
        <v>633</v>
      </c>
      <c r="D5" s="5" t="n">
        <f aca="false">SUMIF('Sales Data'!D:D,A5,'Sales Data'!J:J)</f>
        <v>5848662.54</v>
      </c>
      <c r="E5" s="5" t="n">
        <f aca="false">SUMIF('Sales Data'!D:D,A5,'Sales Data'!M:M)</f>
        <v>5398221.0625</v>
      </c>
      <c r="F5" s="6" t="n">
        <f aca="false">IFERROR(E5/SUM(E3:E6),0)</f>
        <v>0.266919069775812</v>
      </c>
    </row>
    <row r="6" customFormat="false" ht="18" hidden="false" customHeight="true" outlineLevel="0" collapsed="false">
      <c r="A6" s="7" t="s">
        <v>22</v>
      </c>
      <c r="B6" s="9" t="n">
        <f aca="false">COUNTIF('Sales Data'!D:D,A6)</f>
        <v>67</v>
      </c>
      <c r="C6" s="9" t="n">
        <f aca="false">SUMIF('Sales Data'!D:D,A6,'Sales Data'!H:H)</f>
        <v>716</v>
      </c>
      <c r="D6" s="9" t="n">
        <f aca="false">SUMIF('Sales Data'!D:D,A6,'Sales Data'!J:J)</f>
        <v>8365362.1</v>
      </c>
      <c r="E6" s="9" t="n">
        <f aca="false">SUMIF('Sales Data'!D:D,A6,'Sales Data'!M:M)</f>
        <v>7766000.725</v>
      </c>
      <c r="F6" s="10" t="n">
        <f aca="false">IFERROR(E6/SUM(E3:E6),0)</f>
        <v>0.383995702546366</v>
      </c>
    </row>
    <row r="7" customFormat="false" ht="15" hidden="false" customHeight="false" outlineLevel="0" collapsed="false">
      <c r="A7" s="11" t="s">
        <v>327</v>
      </c>
      <c r="B7" s="12" t="n">
        <f aca="false">SUM(B3:B6)</f>
        <v>253</v>
      </c>
      <c r="C7" s="12" t="n">
        <f aca="false">SUM(C3:C6)</f>
        <v>2506</v>
      </c>
      <c r="D7" s="12" t="n">
        <f aca="false">SUM(D3:D6)</f>
        <v>21646396.76</v>
      </c>
      <c r="E7" s="12" t="n">
        <f aca="false">SUM(E3:E6)</f>
        <v>20224186.556</v>
      </c>
      <c r="F7" s="13" t="n">
        <f aca="false">SUM(F3:F6)</f>
        <v>1</v>
      </c>
    </row>
  </sheetData>
  <mergeCells count="1">
    <mergeCell ref="A1:F1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C1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2" topLeftCell="A3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2"/>
    <col collapsed="false" customWidth="true" hidden="false" outlineLevel="0" max="2" min="2" style="0" width="20"/>
    <col collapsed="false" customWidth="true" hidden="false" outlineLevel="0" max="3" min="3" style="0" width="35"/>
  </cols>
  <sheetData>
    <row r="1" customFormat="false" ht="34.5" hidden="false" customHeight="true" outlineLevel="0" collapsed="false">
      <c r="A1" s="1" t="s">
        <v>335</v>
      </c>
      <c r="B1" s="1"/>
      <c r="C1" s="1"/>
    </row>
    <row r="2" customFormat="false" ht="19.5" hidden="false" customHeight="true" outlineLevel="0" collapsed="false">
      <c r="A2" s="2" t="s">
        <v>336</v>
      </c>
      <c r="B2" s="2" t="s">
        <v>337</v>
      </c>
      <c r="C2" s="14" t="s">
        <v>338</v>
      </c>
    </row>
    <row r="3" customFormat="false" ht="19.5" hidden="false" customHeight="true" outlineLevel="0" collapsed="false">
      <c r="A3" s="15" t="s">
        <v>339</v>
      </c>
      <c r="B3" s="5" t="n">
        <f aca="false">COUNTA('Sales Data'!A3:A10000)-1</f>
        <v>253</v>
      </c>
      <c r="C3" s="3" t="s">
        <v>340</v>
      </c>
    </row>
    <row r="4" customFormat="false" ht="19.5" hidden="false" customHeight="true" outlineLevel="0" collapsed="false">
      <c r="A4" s="16" t="s">
        <v>341</v>
      </c>
      <c r="B4" s="9" t="n">
        <f aca="false">SUM('Sales Data'!H:H)</f>
        <v>5012</v>
      </c>
      <c r="C4" s="7" t="s">
        <v>342</v>
      </c>
    </row>
    <row r="5" customFormat="false" ht="19.5" hidden="false" customHeight="true" outlineLevel="0" collapsed="false">
      <c r="A5" s="15" t="s">
        <v>10</v>
      </c>
      <c r="B5" s="5" t="n">
        <f aca="false">SUM('Sales Data'!J:J)</f>
        <v>43292793.52</v>
      </c>
      <c r="C5" s="3" t="s">
        <v>343</v>
      </c>
    </row>
    <row r="6" customFormat="false" ht="19.5" hidden="false" customHeight="true" outlineLevel="0" collapsed="false">
      <c r="A6" s="16" t="s">
        <v>344</v>
      </c>
      <c r="B6" s="9" t="n">
        <f aca="false">SUM('Sales Data'!L:L)</f>
        <v>2844420.408</v>
      </c>
      <c r="C6" s="7" t="s">
        <v>345</v>
      </c>
    </row>
    <row r="7" customFormat="false" ht="19.5" hidden="false" customHeight="true" outlineLevel="0" collapsed="false">
      <c r="A7" s="15" t="s">
        <v>13</v>
      </c>
      <c r="B7" s="5" t="n">
        <f aca="false">SUM('Sales Data'!M:M)</f>
        <v>40448373.112</v>
      </c>
      <c r="C7" s="3" t="s">
        <v>346</v>
      </c>
    </row>
    <row r="8" customFormat="false" ht="19.5" hidden="false" customHeight="true" outlineLevel="0" collapsed="false">
      <c r="A8" s="16" t="s">
        <v>330</v>
      </c>
      <c r="B8" s="9" t="n">
        <f aca="false">IFERROR(B6/B3,0)</f>
        <v>11242.7684110672</v>
      </c>
      <c r="C8" s="7" t="s">
        <v>347</v>
      </c>
    </row>
    <row r="9" customFormat="false" ht="19.5" hidden="false" customHeight="true" outlineLevel="0" collapsed="false">
      <c r="A9" s="15" t="s">
        <v>348</v>
      </c>
      <c r="B9" s="4" t="str">
        <f aca="false">INDEX('Monthly Summary'!A3:A14,MATCH(MAX('Monthly Summary'!F3:F14),'Monthly Summary'!F3:F14,0))</f>
        <v>Aug</v>
      </c>
      <c r="C9" s="3" t="s">
        <v>349</v>
      </c>
    </row>
    <row r="10" customFormat="false" ht="19.5" hidden="false" customHeight="true" outlineLevel="0" collapsed="false">
      <c r="A10" s="16" t="s">
        <v>350</v>
      </c>
      <c r="B10" s="8" t="str">
        <f aca="false">INDEX('Category Analysis'!A3:A7,MATCH(MAX('Category Analysis'!E3:E7),'Category Analysis'!E3:E7,0))</f>
        <v>Electronics</v>
      </c>
      <c r="C10" s="7" t="s">
        <v>351</v>
      </c>
    </row>
    <row r="11" customFormat="false" ht="19.5" hidden="false" customHeight="true" outlineLevel="0" collapsed="false">
      <c r="A11" s="15" t="s">
        <v>352</v>
      </c>
      <c r="B11" s="4" t="str">
        <f aca="false">INDEX('Region Analysis'!A3:A6,MATCH(MAX('Region Analysis'!E3:E6),'Region Analysis'!E3:E6,0))</f>
        <v>West</v>
      </c>
      <c r="C11" s="3" t="s">
        <v>351</v>
      </c>
    </row>
  </sheetData>
  <mergeCells count="1">
    <mergeCell ref="A1:C1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2026-04-09T05:03:25Z</dcterms:created>
  <dc:creator>openpyxl</dc:creator>
  <dc:description/>
  <dc:language>en-US</dc:language>
  <cp:lastModifiedBy/>
  <dcterms:modified xsi:type="dcterms:W3CDTF">2026-04-09T05:03:25Z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